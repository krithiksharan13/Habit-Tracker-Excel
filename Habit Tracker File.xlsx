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readOnlyRecommended="1" userName="Krithik Sharan" algorithmName="SHA-512" hashValue="GWIdi+gvZX5+HKAE/+5l7CAwXmLtMADbew+46ykQEKmct61ESM7AdTloQ55j+6ftd5fz+sq7LNvU506FaJc8MQ==" saltValue="mfeaxHI0z2rGQMNPGgA8WQ==" spinCount="10000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rith\OneDrive\Desktop\"/>
    </mc:Choice>
  </mc:AlternateContent>
  <xr:revisionPtr revIDLastSave="0" documentId="8_{D9EC3C67-4350-4DA8-B8EE-31468208ADDE}" xr6:coauthVersionLast="47" xr6:coauthVersionMax="47" xr10:uidLastSave="{00000000-0000-0000-0000-000000000000}"/>
  <bookViews>
    <workbookView xWindow="-110" yWindow="-110" windowWidth="25820" windowHeight="15500" activeTab="10" xr2:uid="{82A075E7-A8D0-4867-82A5-43421B23CE27}"/>
  </bookViews>
  <sheets>
    <sheet name="Habit List" sheetId="1" r:id="rId1"/>
    <sheet name="Calculations" sheetId="2" r:id="rId2"/>
    <sheet name="Dashboard" sheetId="3" r:id="rId3"/>
    <sheet name="JAN" sheetId="4" r:id="rId4"/>
    <sheet name="FEB" sheetId="5" r:id="rId5"/>
    <sheet name="MAR" sheetId="6" r:id="rId6"/>
    <sheet name="APR" sheetId="8" r:id="rId7"/>
    <sheet name="MAY" sheetId="9" r:id="rId8"/>
    <sheet name="JUN" sheetId="10" r:id="rId9"/>
    <sheet name="JUL" sheetId="11" r:id="rId10"/>
    <sheet name="AUG" sheetId="12" r:id="rId11"/>
    <sheet name="SEP" sheetId="13" r:id="rId12"/>
    <sheet name="OCT" sheetId="14" r:id="rId13"/>
    <sheet name="NOV" sheetId="16" r:id="rId14"/>
    <sheet name="DEC" sheetId="17" r:id="rId15"/>
  </sheets>
  <definedNames>
    <definedName name="calculatedNo">Calculations!$S$20</definedName>
    <definedName name="calculatedYes">Calculations!$S$4</definedName>
    <definedName name="habitlist">'Habit List'!$B$4:$B$13</definedName>
    <definedName name="selectedHabit">Dashboard!$B$4</definedName>
    <definedName name="selectedMonth">Dashboard!$D$4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3" l="1"/>
  <c r="G3" i="3"/>
  <c r="K41" i="2"/>
  <c r="K42" i="2"/>
  <c r="N44" i="2"/>
  <c r="E45" i="2"/>
  <c r="K46" i="2"/>
  <c r="C37" i="2"/>
  <c r="N26" i="2"/>
  <c r="N28" i="2"/>
  <c r="M24" i="2"/>
  <c r="M25" i="2"/>
  <c r="M26" i="2"/>
  <c r="L27" i="2"/>
  <c r="L28" i="2"/>
  <c r="L29" i="2"/>
  <c r="L21" i="2"/>
  <c r="K23" i="2"/>
  <c r="K24" i="2"/>
  <c r="K25" i="2"/>
  <c r="K26" i="2"/>
  <c r="K29" i="2"/>
  <c r="K30" i="2"/>
  <c r="K21" i="2"/>
  <c r="I27" i="2"/>
  <c r="I28" i="2"/>
  <c r="I29" i="2"/>
  <c r="I21" i="2"/>
  <c r="H24" i="2"/>
  <c r="H25" i="2"/>
  <c r="G28" i="2"/>
  <c r="G29" i="2"/>
  <c r="G21" i="2"/>
  <c r="F22" i="2"/>
  <c r="F26" i="2"/>
  <c r="F27" i="2"/>
  <c r="E29" i="2"/>
  <c r="D30" i="2"/>
  <c r="E21" i="2"/>
  <c r="E5" i="2"/>
  <c r="C21" i="2"/>
  <c r="C5" i="2"/>
  <c r="N12" i="2"/>
  <c r="N13" i="2"/>
  <c r="M7" i="2"/>
  <c r="M39" i="2" s="1"/>
  <c r="M12" i="2"/>
  <c r="M13" i="2"/>
  <c r="L6" i="2"/>
  <c r="L38" i="2" s="1"/>
  <c r="L8" i="2"/>
  <c r="K9" i="2"/>
  <c r="K10" i="2"/>
  <c r="K14" i="2"/>
  <c r="K5" i="2"/>
  <c r="I11" i="2"/>
  <c r="I43" i="2" s="1"/>
  <c r="I12" i="2"/>
  <c r="I44" i="2" s="1"/>
  <c r="I13" i="2"/>
  <c r="I45" i="2" s="1"/>
  <c r="I5" i="2"/>
  <c r="I37" i="2" s="1"/>
  <c r="H12" i="2"/>
  <c r="H44" i="2" s="1"/>
  <c r="H13" i="2"/>
  <c r="H45" i="2" s="1"/>
  <c r="H14" i="2"/>
  <c r="H5" i="2"/>
  <c r="G6" i="2"/>
  <c r="G13" i="2"/>
  <c r="G45" i="2" s="1"/>
  <c r="G14" i="2"/>
  <c r="F13" i="2"/>
  <c r="F14" i="2"/>
  <c r="E8" i="2"/>
  <c r="E40" i="2" s="1"/>
  <c r="E9" i="2"/>
  <c r="E13" i="2"/>
  <c r="D8" i="2"/>
  <c r="D9" i="2"/>
  <c r="D10" i="2"/>
  <c r="D13" i="2"/>
  <c r="D14" i="2"/>
  <c r="D46" i="2" s="1"/>
  <c r="D6" i="2"/>
  <c r="D38" i="2" s="1"/>
  <c r="C9" i="2"/>
  <c r="G5" i="2"/>
  <c r="G37" i="2" s="1"/>
  <c r="B37" i="2" a="1"/>
  <c r="B37" i="2" s="1"/>
  <c r="B21" i="2" a="1"/>
  <c r="B21" i="2" s="1"/>
  <c r="B5" i="2" a="1"/>
  <c r="B5" i="2" s="1"/>
  <c r="AJ13" i="17"/>
  <c r="N30" i="2" s="1"/>
  <c r="AI13" i="17"/>
  <c r="N14" i="2" s="1"/>
  <c r="N46" i="2" s="1"/>
  <c r="AJ12" i="17"/>
  <c r="N29" i="2" s="1"/>
  <c r="N45" i="2" s="1"/>
  <c r="AI12" i="17"/>
  <c r="AJ11" i="17"/>
  <c r="AI11" i="17"/>
  <c r="AJ10" i="17"/>
  <c r="N27" i="2" s="1"/>
  <c r="AI10" i="17"/>
  <c r="N11" i="2" s="1"/>
  <c r="N43" i="2" s="1"/>
  <c r="AJ9" i="17"/>
  <c r="AI9" i="17"/>
  <c r="N10" i="2" s="1"/>
  <c r="N42" i="2" s="1"/>
  <c r="AJ8" i="17"/>
  <c r="N25" i="2" s="1"/>
  <c r="AI8" i="17"/>
  <c r="N9" i="2" s="1"/>
  <c r="N41" i="2" s="1"/>
  <c r="AJ7" i="17"/>
  <c r="N24" i="2" s="1"/>
  <c r="AI7" i="17"/>
  <c r="N8" i="2" s="1"/>
  <c r="N40" i="2" s="1"/>
  <c r="AJ6" i="17"/>
  <c r="N23" i="2" s="1"/>
  <c r="AI6" i="17"/>
  <c r="N7" i="2" s="1"/>
  <c r="N39" i="2" s="1"/>
  <c r="AJ5" i="17"/>
  <c r="N22" i="2" s="1"/>
  <c r="AI5" i="17"/>
  <c r="N6" i="2" s="1"/>
  <c r="N38" i="2" s="1"/>
  <c r="AJ4" i="17"/>
  <c r="N21" i="2" s="1"/>
  <c r="AI4" i="17"/>
  <c r="N5" i="2" s="1"/>
  <c r="B4" i="17" a="1"/>
  <c r="B4" i="17" s="1"/>
  <c r="AJ13" i="16"/>
  <c r="M30" i="2" s="1"/>
  <c r="AI13" i="16"/>
  <c r="M14" i="2" s="1"/>
  <c r="M46" i="2" s="1"/>
  <c r="AJ12" i="16"/>
  <c r="M29" i="2" s="1"/>
  <c r="M45" i="2" s="1"/>
  <c r="AI12" i="16"/>
  <c r="AJ11" i="16"/>
  <c r="M28" i="2" s="1"/>
  <c r="M44" i="2" s="1"/>
  <c r="AI11" i="16"/>
  <c r="AJ10" i="16"/>
  <c r="M27" i="2" s="1"/>
  <c r="AI10" i="16"/>
  <c r="M11" i="2" s="1"/>
  <c r="M43" i="2" s="1"/>
  <c r="AJ9" i="16"/>
  <c r="AI9" i="16"/>
  <c r="M10" i="2" s="1"/>
  <c r="M42" i="2" s="1"/>
  <c r="AJ8" i="16"/>
  <c r="AI8" i="16"/>
  <c r="M9" i="2" s="1"/>
  <c r="M41" i="2" s="1"/>
  <c r="AJ7" i="16"/>
  <c r="AI7" i="16"/>
  <c r="M8" i="2" s="1"/>
  <c r="M40" i="2" s="1"/>
  <c r="AJ6" i="16"/>
  <c r="M23" i="2" s="1"/>
  <c r="AI6" i="16"/>
  <c r="AJ5" i="16"/>
  <c r="M22" i="2" s="1"/>
  <c r="AI5" i="16"/>
  <c r="M6" i="2" s="1"/>
  <c r="M38" i="2" s="1"/>
  <c r="AJ4" i="16"/>
  <c r="M21" i="2" s="1"/>
  <c r="AI4" i="16"/>
  <c r="M5" i="2" s="1"/>
  <c r="B4" i="16" a="1"/>
  <c r="B4" i="16" s="1"/>
  <c r="AJ13" i="14"/>
  <c r="L30" i="2" s="1"/>
  <c r="AI13" i="14"/>
  <c r="L14" i="2" s="1"/>
  <c r="L46" i="2" s="1"/>
  <c r="AJ12" i="14"/>
  <c r="AI12" i="14"/>
  <c r="L13" i="2" s="1"/>
  <c r="L45" i="2" s="1"/>
  <c r="AJ11" i="14"/>
  <c r="AI11" i="14"/>
  <c r="L12" i="2" s="1"/>
  <c r="L44" i="2" s="1"/>
  <c r="AJ10" i="14"/>
  <c r="AI10" i="14"/>
  <c r="L11" i="2" s="1"/>
  <c r="L43" i="2" s="1"/>
  <c r="AJ9" i="14"/>
  <c r="L26" i="2" s="1"/>
  <c r="AI9" i="14"/>
  <c r="L10" i="2" s="1"/>
  <c r="L42" i="2" s="1"/>
  <c r="AJ8" i="14"/>
  <c r="L25" i="2" s="1"/>
  <c r="AI8" i="14"/>
  <c r="L9" i="2" s="1"/>
  <c r="L41" i="2" s="1"/>
  <c r="AJ7" i="14"/>
  <c r="L24" i="2" s="1"/>
  <c r="AI7" i="14"/>
  <c r="AJ6" i="14"/>
  <c r="L23" i="2" s="1"/>
  <c r="AI6" i="14"/>
  <c r="L7" i="2" s="1"/>
  <c r="L39" i="2" s="1"/>
  <c r="AJ5" i="14"/>
  <c r="L22" i="2" s="1"/>
  <c r="AI5" i="14"/>
  <c r="AJ4" i="14"/>
  <c r="AI4" i="14"/>
  <c r="L5" i="2" s="1"/>
  <c r="B4" i="14" a="1"/>
  <c r="B4" i="14" s="1"/>
  <c r="AJ13" i="13"/>
  <c r="AI13" i="13"/>
  <c r="AJ12" i="13"/>
  <c r="AI12" i="13"/>
  <c r="K13" i="2" s="1"/>
  <c r="K45" i="2" s="1"/>
  <c r="AJ11" i="13"/>
  <c r="K28" i="2" s="1"/>
  <c r="AI11" i="13"/>
  <c r="K12" i="2" s="1"/>
  <c r="K44" i="2" s="1"/>
  <c r="AJ10" i="13"/>
  <c r="K27" i="2" s="1"/>
  <c r="AI10" i="13"/>
  <c r="K11" i="2" s="1"/>
  <c r="K43" i="2" s="1"/>
  <c r="AJ9" i="13"/>
  <c r="AI9" i="13"/>
  <c r="AJ8" i="13"/>
  <c r="AI8" i="13"/>
  <c r="AJ7" i="13"/>
  <c r="AI7" i="13"/>
  <c r="K8" i="2" s="1"/>
  <c r="K40" i="2" s="1"/>
  <c r="AJ6" i="13"/>
  <c r="AI6" i="13"/>
  <c r="K7" i="2" s="1"/>
  <c r="K39" i="2" s="1"/>
  <c r="AJ5" i="13"/>
  <c r="K22" i="2" s="1"/>
  <c r="AI5" i="13"/>
  <c r="K6" i="2" s="1"/>
  <c r="K38" i="2" s="1"/>
  <c r="AJ4" i="13"/>
  <c r="AI4" i="13"/>
  <c r="B4" i="13" a="1"/>
  <c r="B4" i="13" s="1"/>
  <c r="AJ13" i="12"/>
  <c r="J30" i="2" s="1"/>
  <c r="AI13" i="12"/>
  <c r="J14" i="2" s="1"/>
  <c r="AJ12" i="12"/>
  <c r="J29" i="2" s="1"/>
  <c r="AI12" i="12"/>
  <c r="J13" i="2" s="1"/>
  <c r="AJ11" i="12"/>
  <c r="J28" i="2" s="1"/>
  <c r="AI11" i="12"/>
  <c r="J12" i="2" s="1"/>
  <c r="AJ10" i="12"/>
  <c r="J27" i="2" s="1"/>
  <c r="AI10" i="12"/>
  <c r="J11" i="2" s="1"/>
  <c r="AJ9" i="12"/>
  <c r="J26" i="2" s="1"/>
  <c r="AI9" i="12"/>
  <c r="J10" i="2" s="1"/>
  <c r="AJ8" i="12"/>
  <c r="J25" i="2" s="1"/>
  <c r="AI8" i="12"/>
  <c r="J9" i="2" s="1"/>
  <c r="J41" i="2" s="1"/>
  <c r="AJ7" i="12"/>
  <c r="J24" i="2" s="1"/>
  <c r="AI7" i="12"/>
  <c r="J8" i="2" s="1"/>
  <c r="AJ6" i="12"/>
  <c r="J23" i="2" s="1"/>
  <c r="AI6" i="12"/>
  <c r="J7" i="2" s="1"/>
  <c r="AJ5" i="12"/>
  <c r="J22" i="2" s="1"/>
  <c r="AI5" i="12"/>
  <c r="J6" i="2" s="1"/>
  <c r="AJ4" i="12"/>
  <c r="J21" i="2" s="1"/>
  <c r="AI4" i="12"/>
  <c r="J5" i="2" s="1"/>
  <c r="B4" i="12" a="1"/>
  <c r="B4" i="12" s="1"/>
  <c r="AJ13" i="11"/>
  <c r="I30" i="2" s="1"/>
  <c r="AI13" i="11"/>
  <c r="I14" i="2" s="1"/>
  <c r="I46" i="2" s="1"/>
  <c r="AJ12" i="11"/>
  <c r="AI12" i="11"/>
  <c r="AJ11" i="11"/>
  <c r="AI11" i="11"/>
  <c r="AJ10" i="11"/>
  <c r="AI10" i="11"/>
  <c r="AJ9" i="11"/>
  <c r="I26" i="2" s="1"/>
  <c r="AI9" i="11"/>
  <c r="I10" i="2" s="1"/>
  <c r="I42" i="2" s="1"/>
  <c r="AJ8" i="11"/>
  <c r="I25" i="2" s="1"/>
  <c r="AI8" i="11"/>
  <c r="I9" i="2" s="1"/>
  <c r="I41" i="2" s="1"/>
  <c r="AJ7" i="11"/>
  <c r="I24" i="2" s="1"/>
  <c r="AI7" i="11"/>
  <c r="I8" i="2" s="1"/>
  <c r="AJ6" i="11"/>
  <c r="I23" i="2" s="1"/>
  <c r="AI6" i="11"/>
  <c r="I7" i="2" s="1"/>
  <c r="I39" i="2" s="1"/>
  <c r="AJ5" i="11"/>
  <c r="I22" i="2" s="1"/>
  <c r="AI5" i="11"/>
  <c r="I6" i="2" s="1"/>
  <c r="AJ4" i="11"/>
  <c r="AI4" i="11"/>
  <c r="B4" i="11" a="1"/>
  <c r="B4" i="11" s="1"/>
  <c r="AJ13" i="10"/>
  <c r="H30" i="2" s="1"/>
  <c r="AI13" i="10"/>
  <c r="AJ12" i="10"/>
  <c r="H29" i="2" s="1"/>
  <c r="AI12" i="10"/>
  <c r="AJ11" i="10"/>
  <c r="H28" i="2" s="1"/>
  <c r="AI11" i="10"/>
  <c r="AJ10" i="10"/>
  <c r="H27" i="2" s="1"/>
  <c r="AI10" i="10"/>
  <c r="H11" i="2" s="1"/>
  <c r="H43" i="2" s="1"/>
  <c r="AJ9" i="10"/>
  <c r="H26" i="2" s="1"/>
  <c r="AI9" i="10"/>
  <c r="H10" i="2" s="1"/>
  <c r="H42" i="2" s="1"/>
  <c r="AJ8" i="10"/>
  <c r="AI8" i="10"/>
  <c r="H9" i="2" s="1"/>
  <c r="H41" i="2" s="1"/>
  <c r="AJ7" i="10"/>
  <c r="AI7" i="10"/>
  <c r="H8" i="2" s="1"/>
  <c r="H40" i="2" s="1"/>
  <c r="AJ6" i="10"/>
  <c r="H23" i="2" s="1"/>
  <c r="AI6" i="10"/>
  <c r="H7" i="2" s="1"/>
  <c r="H39" i="2" s="1"/>
  <c r="AJ5" i="10"/>
  <c r="H22" i="2" s="1"/>
  <c r="AI5" i="10"/>
  <c r="H6" i="2" s="1"/>
  <c r="H38" i="2" s="1"/>
  <c r="AJ4" i="10"/>
  <c r="H21" i="2" s="1"/>
  <c r="AI4" i="10"/>
  <c r="B4" i="10" a="1"/>
  <c r="B4" i="10" s="1"/>
  <c r="AJ13" i="9"/>
  <c r="G30" i="2" s="1"/>
  <c r="AI13" i="9"/>
  <c r="AJ12" i="9"/>
  <c r="AI12" i="9"/>
  <c r="AJ11" i="9"/>
  <c r="AI11" i="9"/>
  <c r="G12" i="2" s="1"/>
  <c r="G44" i="2" s="1"/>
  <c r="AJ10" i="9"/>
  <c r="G27" i="2" s="1"/>
  <c r="AI10" i="9"/>
  <c r="G11" i="2" s="1"/>
  <c r="G43" i="2" s="1"/>
  <c r="AJ9" i="9"/>
  <c r="G26" i="2" s="1"/>
  <c r="AI9" i="9"/>
  <c r="G10" i="2" s="1"/>
  <c r="G42" i="2" s="1"/>
  <c r="AJ8" i="9"/>
  <c r="G25" i="2" s="1"/>
  <c r="AI8" i="9"/>
  <c r="G9" i="2" s="1"/>
  <c r="G41" i="2" s="1"/>
  <c r="AJ7" i="9"/>
  <c r="G24" i="2" s="1"/>
  <c r="AI7" i="9"/>
  <c r="G8" i="2" s="1"/>
  <c r="G40" i="2" s="1"/>
  <c r="AJ6" i="9"/>
  <c r="G23" i="2" s="1"/>
  <c r="AI6" i="9"/>
  <c r="G7" i="2" s="1"/>
  <c r="AJ5" i="9"/>
  <c r="G22" i="2" s="1"/>
  <c r="G38" i="2" s="1"/>
  <c r="AI5" i="9"/>
  <c r="AJ4" i="9"/>
  <c r="AI4" i="9"/>
  <c r="B4" i="9" a="1"/>
  <c r="B4" i="9" s="1"/>
  <c r="AJ13" i="8"/>
  <c r="F30" i="2" s="1"/>
  <c r="F46" i="2" s="1"/>
  <c r="AI13" i="8"/>
  <c r="AJ12" i="8"/>
  <c r="F29" i="2" s="1"/>
  <c r="F45" i="2" s="1"/>
  <c r="AI12" i="8"/>
  <c r="AJ11" i="8"/>
  <c r="F28" i="2" s="1"/>
  <c r="AI11" i="8"/>
  <c r="F12" i="2" s="1"/>
  <c r="F44" i="2" s="1"/>
  <c r="AJ10" i="8"/>
  <c r="AI10" i="8"/>
  <c r="F11" i="2" s="1"/>
  <c r="F43" i="2" s="1"/>
  <c r="AJ9" i="8"/>
  <c r="AI9" i="8"/>
  <c r="F10" i="2" s="1"/>
  <c r="F42" i="2" s="1"/>
  <c r="AJ8" i="8"/>
  <c r="F25" i="2" s="1"/>
  <c r="AI8" i="8"/>
  <c r="F9" i="2" s="1"/>
  <c r="AJ7" i="8"/>
  <c r="F24" i="2" s="1"/>
  <c r="AI7" i="8"/>
  <c r="F8" i="2" s="1"/>
  <c r="F40" i="2" s="1"/>
  <c r="AJ6" i="8"/>
  <c r="F23" i="2" s="1"/>
  <c r="AI6" i="8"/>
  <c r="F7" i="2" s="1"/>
  <c r="F39" i="2" s="1"/>
  <c r="AJ5" i="8"/>
  <c r="AI5" i="8"/>
  <c r="F6" i="2" s="1"/>
  <c r="F38" i="2" s="1"/>
  <c r="AJ4" i="8"/>
  <c r="F21" i="2" s="1"/>
  <c r="AI4" i="8"/>
  <c r="F5" i="2" s="1"/>
  <c r="B4" i="8" a="1"/>
  <c r="B4" i="8" s="1"/>
  <c r="AJ13" i="6"/>
  <c r="E30" i="2" s="1"/>
  <c r="AI13" i="6"/>
  <c r="E14" i="2" s="1"/>
  <c r="E46" i="2" s="1"/>
  <c r="AJ12" i="6"/>
  <c r="AI12" i="6"/>
  <c r="AJ11" i="6"/>
  <c r="E28" i="2" s="1"/>
  <c r="AI11" i="6"/>
  <c r="E12" i="2" s="1"/>
  <c r="E44" i="2" s="1"/>
  <c r="AJ10" i="6"/>
  <c r="E27" i="2" s="1"/>
  <c r="AI10" i="6"/>
  <c r="E11" i="2" s="1"/>
  <c r="E43" i="2" s="1"/>
  <c r="AJ9" i="6"/>
  <c r="E26" i="2" s="1"/>
  <c r="AI9" i="6"/>
  <c r="E10" i="2" s="1"/>
  <c r="AJ8" i="6"/>
  <c r="E25" i="2" s="1"/>
  <c r="AI8" i="6"/>
  <c r="AJ7" i="6"/>
  <c r="E24" i="2" s="1"/>
  <c r="AI7" i="6"/>
  <c r="AJ6" i="6"/>
  <c r="E23" i="2" s="1"/>
  <c r="AI6" i="6"/>
  <c r="E7" i="2" s="1"/>
  <c r="E39" i="2" s="1"/>
  <c r="AJ5" i="6"/>
  <c r="E22" i="2" s="1"/>
  <c r="AI5" i="6"/>
  <c r="E6" i="2" s="1"/>
  <c r="AJ4" i="6"/>
  <c r="AI4" i="6"/>
  <c r="B4" i="6" a="1"/>
  <c r="B4" i="6" s="1"/>
  <c r="AJ13" i="5"/>
  <c r="AI13" i="5"/>
  <c r="AJ12" i="5"/>
  <c r="D29" i="2" s="1"/>
  <c r="D45" i="2" s="1"/>
  <c r="AI12" i="5"/>
  <c r="AJ11" i="5"/>
  <c r="D28" i="2" s="1"/>
  <c r="AI11" i="5"/>
  <c r="D12" i="2" s="1"/>
  <c r="D44" i="2" s="1"/>
  <c r="AJ10" i="5"/>
  <c r="D27" i="2" s="1"/>
  <c r="AI10" i="5"/>
  <c r="D11" i="2" s="1"/>
  <c r="D43" i="2" s="1"/>
  <c r="AJ9" i="5"/>
  <c r="D26" i="2" s="1"/>
  <c r="D42" i="2" s="1"/>
  <c r="AI9" i="5"/>
  <c r="AJ8" i="5"/>
  <c r="D25" i="2" s="1"/>
  <c r="AI8" i="5"/>
  <c r="AJ7" i="5"/>
  <c r="D24" i="2" s="1"/>
  <c r="AI7" i="5"/>
  <c r="AJ6" i="5"/>
  <c r="D23" i="2" s="1"/>
  <c r="AI6" i="5"/>
  <c r="D7" i="2" s="1"/>
  <c r="D39" i="2" s="1"/>
  <c r="AJ5" i="5"/>
  <c r="D22" i="2" s="1"/>
  <c r="AI5" i="5"/>
  <c r="AJ4" i="5"/>
  <c r="D21" i="2" s="1"/>
  <c r="AI4" i="5"/>
  <c r="D5" i="2" s="1"/>
  <c r="B4" i="5" a="1"/>
  <c r="B4" i="5" s="1"/>
  <c r="AJ5" i="4"/>
  <c r="C22" i="2" s="1"/>
  <c r="AJ6" i="4"/>
  <c r="AJ7" i="4"/>
  <c r="AJ8" i="4"/>
  <c r="C25" i="2" s="1"/>
  <c r="AJ9" i="4"/>
  <c r="C26" i="2" s="1"/>
  <c r="AJ10" i="4"/>
  <c r="AJ11" i="4"/>
  <c r="AJ12" i="4"/>
  <c r="C29" i="2" s="1"/>
  <c r="AJ13" i="4"/>
  <c r="AI5" i="4"/>
  <c r="AI6" i="4"/>
  <c r="C7" i="2" s="1"/>
  <c r="AI7" i="4"/>
  <c r="AI8" i="4"/>
  <c r="AI9" i="4"/>
  <c r="AI10" i="4"/>
  <c r="C11" i="2" s="1"/>
  <c r="AI11" i="4"/>
  <c r="C12" i="2" s="1"/>
  <c r="AI12" i="4"/>
  <c r="C13" i="2" s="1"/>
  <c r="AI13" i="4"/>
  <c r="C14" i="2" s="1"/>
  <c r="AJ4" i="4"/>
  <c r="AI4" i="4"/>
  <c r="B4" i="4" a="1"/>
  <c r="B4" i="4" s="1"/>
  <c r="F41" i="2" l="1"/>
  <c r="N48" i="2"/>
  <c r="N50" i="2" s="1"/>
  <c r="N32" i="2"/>
  <c r="M32" i="2"/>
  <c r="M48" i="2"/>
  <c r="M50" i="2" s="1"/>
  <c r="M16" i="2"/>
  <c r="M37" i="2"/>
  <c r="L40" i="2"/>
  <c r="L37" i="2"/>
  <c r="L48" i="2"/>
  <c r="L50" i="2" s="1"/>
  <c r="L16" i="2"/>
  <c r="L32" i="2"/>
  <c r="K16" i="2"/>
  <c r="K32" i="2"/>
  <c r="K37" i="2"/>
  <c r="K48" i="2"/>
  <c r="K50" i="2" s="1"/>
  <c r="C4" i="1"/>
  <c r="E4" i="1" s="1"/>
  <c r="D4" i="1"/>
  <c r="J37" i="2"/>
  <c r="J40" i="2"/>
  <c r="J43" i="2"/>
  <c r="J44" i="2"/>
  <c r="J42" i="2"/>
  <c r="J46" i="2"/>
  <c r="J45" i="2"/>
  <c r="J32" i="2"/>
  <c r="J39" i="2"/>
  <c r="J48" i="2"/>
  <c r="J50" i="2" s="1"/>
  <c r="J16" i="2"/>
  <c r="J38" i="2"/>
  <c r="I32" i="2"/>
  <c r="I16" i="2"/>
  <c r="I38" i="2"/>
  <c r="I40" i="2"/>
  <c r="I48" i="2"/>
  <c r="I50" i="2" s="1"/>
  <c r="H32" i="2"/>
  <c r="H37" i="2"/>
  <c r="H46" i="2"/>
  <c r="H48" i="2"/>
  <c r="H50" i="2" s="1"/>
  <c r="H16" i="2"/>
  <c r="G32" i="2"/>
  <c r="G39" i="2"/>
  <c r="G48" i="2"/>
  <c r="G50" i="2" s="1"/>
  <c r="G46" i="2"/>
  <c r="G16" i="2"/>
  <c r="F16" i="2"/>
  <c r="F37" i="2"/>
  <c r="F48" i="2"/>
  <c r="F50" i="2" s="1"/>
  <c r="F32" i="2"/>
  <c r="E42" i="2"/>
  <c r="E41" i="2"/>
  <c r="E38" i="2"/>
  <c r="E48" i="2"/>
  <c r="E50" i="2" s="1"/>
  <c r="E32" i="2"/>
  <c r="E16" i="2"/>
  <c r="E37" i="2"/>
  <c r="D7" i="1"/>
  <c r="C8" i="1"/>
  <c r="D6" i="1"/>
  <c r="C7" i="1"/>
  <c r="E7" i="1" s="1"/>
  <c r="C9" i="1"/>
  <c r="D41" i="2"/>
  <c r="D40" i="2"/>
  <c r="P25" i="2"/>
  <c r="C5" i="1"/>
  <c r="D13" i="1"/>
  <c r="P29" i="2"/>
  <c r="D11" i="1"/>
  <c r="D10" i="1"/>
  <c r="P26" i="2"/>
  <c r="D16" i="2"/>
  <c r="D37" i="2"/>
  <c r="D48" i="2"/>
  <c r="D50" i="2" s="1"/>
  <c r="P5" i="2"/>
  <c r="P21" i="2"/>
  <c r="D32" i="2"/>
  <c r="C10" i="2"/>
  <c r="C42" i="2" s="1"/>
  <c r="P42" i="2" s="1"/>
  <c r="R42" i="2" s="1"/>
  <c r="D9" i="1"/>
  <c r="D8" i="1"/>
  <c r="C23" i="2"/>
  <c r="P23" i="2" s="1"/>
  <c r="P12" i="2"/>
  <c r="P14" i="2"/>
  <c r="P11" i="2"/>
  <c r="C43" i="2"/>
  <c r="C41" i="2"/>
  <c r="P13" i="2"/>
  <c r="C45" i="2"/>
  <c r="P9" i="2"/>
  <c r="C13" i="1"/>
  <c r="C30" i="2"/>
  <c r="P30" i="2" s="1"/>
  <c r="P10" i="2"/>
  <c r="D12" i="1"/>
  <c r="C12" i="1"/>
  <c r="C28" i="2"/>
  <c r="P28" i="2" s="1"/>
  <c r="C27" i="2"/>
  <c r="P27" i="2" s="1"/>
  <c r="C11" i="1"/>
  <c r="C10" i="1"/>
  <c r="C24" i="2"/>
  <c r="P24" i="2" s="1"/>
  <c r="C8" i="2"/>
  <c r="P7" i="2"/>
  <c r="C39" i="2"/>
  <c r="C6" i="1"/>
  <c r="P22" i="2"/>
  <c r="C6" i="2"/>
  <c r="D5" i="1"/>
  <c r="N16" i="2"/>
  <c r="N37" i="2"/>
  <c r="P41" i="2" l="1"/>
  <c r="R41" i="2" s="1"/>
  <c r="S20" i="2" a="1"/>
  <c r="S20" i="2" s="1"/>
  <c r="D7" i="3" s="1"/>
  <c r="P37" i="2"/>
  <c r="R37" i="2" s="1"/>
  <c r="P43" i="2"/>
  <c r="R43" i="2" s="1"/>
  <c r="P45" i="2"/>
  <c r="R45" i="2" s="1"/>
  <c r="P39" i="2"/>
  <c r="R39" i="2" s="1"/>
  <c r="E13" i="1"/>
  <c r="E8" i="1"/>
  <c r="E6" i="1"/>
  <c r="E5" i="1"/>
  <c r="E9" i="1"/>
  <c r="E10" i="1"/>
  <c r="E11" i="1"/>
  <c r="E12" i="1"/>
  <c r="C32" i="2"/>
  <c r="C46" i="2"/>
  <c r="P46" i="2" s="1"/>
  <c r="R46" i="2" s="1"/>
  <c r="C44" i="2"/>
  <c r="P44" i="2" s="1"/>
  <c r="R44" i="2" s="1"/>
  <c r="P8" i="2"/>
  <c r="C40" i="2"/>
  <c r="P40" i="2" s="1"/>
  <c r="R40" i="2" s="1"/>
  <c r="C38" i="2"/>
  <c r="P38" i="2" s="1"/>
  <c r="R38" i="2" s="1"/>
  <c r="C16" i="2"/>
  <c r="C48" i="2"/>
  <c r="C50" i="2" s="1"/>
  <c r="P6" i="2"/>
  <c r="S4" i="2" s="1" a="1"/>
  <c r="S4" i="2" s="1"/>
  <c r="B7" i="3" s="1"/>
  <c r="B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<sst xmlns="http://schemas.openxmlformats.org/spreadsheetml/2006/main" count="109" uniqueCount="46">
  <si>
    <t>Habit List</t>
  </si>
  <si>
    <t>My Habits</t>
  </si>
  <si>
    <t>YES</t>
  </si>
  <si>
    <t>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</si>
  <si>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</si>
  <si>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</si>
  <si>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</si>
  <si>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</si>
  <si>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</si>
  <si>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</si>
  <si>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</si>
  <si>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</si>
  <si>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</si>
  <si>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</si>
  <si>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</si>
  <si>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</si>
  <si>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%</t>
  </si>
  <si>
    <t>Calculations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</si>
  <si>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</si>
  <si>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</si>
  <si>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</si>
  <si>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</si>
  <si>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</si>
  <si>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</si>
  <si>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</si>
  <si>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</si>
  <si>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</si>
  <si>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</si>
  <si>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</si>
  <si>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</si>
  <si>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PERCENT</t>
  </si>
  <si>
    <t xml:space="preserve"> </t>
  </si>
  <si>
    <t>Select Habit</t>
  </si>
  <si>
    <t>Select Month</t>
  </si>
  <si>
    <t>CHART</t>
  </si>
  <si>
    <t>DASHBOARD</t>
  </si>
  <si>
    <t>Habit 1</t>
  </si>
  <si>
    <t>Habit 2</t>
  </si>
  <si>
    <t>Habit 3</t>
  </si>
  <si>
    <t>Habit 4</t>
  </si>
  <si>
    <t>Habit 5</t>
  </si>
  <si>
    <t>Habit 6</t>
  </si>
  <si>
    <t>Habit 7</t>
  </si>
  <si>
    <t>Habit 8</t>
  </si>
  <si>
    <t>Habit 9</t>
  </si>
  <si>
    <t>Habit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</si>
</sst>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4" tint="0.7999816888943144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rgb="FF01B8AA"/>
      <name val="Calibri"/>
      <family val="2"/>
      <scheme val="minor"/>
    </font>
    <font>
      <sz val="28"/>
      <color rgb="FF01B8A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rgb="FF01B8AA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rgb="FF01B8AA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rgb="FF01B8AA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79998168889431442"/>
      </bottom>
      <diagonal/>
    </border>
    <border>
      <left/>
      <right/>
      <top style="thick">
        <color theme="4" tint="0.79998168889431442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9" fontId="5" fillId="0" borderId="9" xfId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9" fontId="1" fillId="0" borderId="10" xfId="1" applyFont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9" fontId="11" fillId="6" borderId="0" xfId="1" applyFont="1" applyFill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1B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Dashboard!$G$9</c:f>
          <c:strCache>
            <c:ptCount val="1"/>
            <c:pt idx="0">
              <c:v>Habit 3Percentage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3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rgbClr val="01B8AA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tx2">
                  <a:lumMod val="75000"/>
                </a:schemeClr>
              </a:solidFill>
              <a:ln w="28575">
                <a:solidFill>
                  <a:srgbClr val="01B8AA"/>
                </a:solidFill>
              </a:ln>
              <a:effectLst/>
            </c:spPr>
          </c:marker>
          <c:cat>
            <c:strRef>
              <c:f>Calculations!$C$36:$N$36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Calculations!$C$50:$N$50</c:f>
              <c:numCache>
                <c:formatCode>0%</c:formatCode>
                <c:ptCount val="12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C-4D9C-B9B0-A4AF16287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649343"/>
        <c:axId val="1894649759"/>
      </c:lineChart>
      <c:catAx>
        <c:axId val="18946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9759"/>
        <c:crosses val="autoZero"/>
        <c:auto val="1"/>
        <c:lblAlgn val="ctr"/>
        <c:lblOffset val="100"/>
        <c:noMultiLvlLbl val="0"/>
      </c:catAx>
      <c:valAx>
        <c:axId val="189464975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Dashboard!$G$3</c:f>
          <c:strCache>
            <c:ptCount val="1"/>
            <c:pt idx="0">
              <c:v>Habit Performance -JAN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3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Habits</c:v>
          </c:tx>
          <c:spPr>
            <a:solidFill>
              <a:srgbClr val="01B8AA"/>
            </a:solidFill>
            <a:ln>
              <a:noFill/>
            </a:ln>
            <a:effectLst/>
          </c:spPr>
          <c:invertIfNegative val="0"/>
          <c:cat>
            <c:strRef>
              <c:f>Calculations!$B$37:$B$46</c:f>
              <c:strCache>
                <c:ptCount val="10"/>
                <c:pt idx="0">
                  <c:v>Habit 1</c:v>
                </c:pt>
                <c:pt idx="1">
                  <c:v>Habit 2</c:v>
                </c:pt>
                <c:pt idx="2">
                  <c:v>Habit 3</c:v>
                </c:pt>
                <c:pt idx="3">
                  <c:v>Habit 4</c:v>
                </c:pt>
                <c:pt idx="4">
                  <c:v>Habit 5</c:v>
                </c:pt>
                <c:pt idx="5">
                  <c:v>Habit 6</c:v>
                </c:pt>
                <c:pt idx="6">
                  <c:v>Habit 7</c:v>
                </c:pt>
                <c:pt idx="7">
                  <c:v>Habit 8</c:v>
                </c:pt>
                <c:pt idx="8">
                  <c:v>Habit 9</c:v>
                </c:pt>
                <c:pt idx="9">
                  <c:v>Habit 10</c:v>
                </c:pt>
              </c:strCache>
            </c:strRef>
          </c:cat>
          <c:val>
            <c:numRef>
              <c:f>Calculations!$R$37:$R$46</c:f>
              <c:numCache>
                <c:formatCode>0%</c:formatCode>
                <c:ptCount val="10"/>
                <c:pt idx="0">
                  <c:v>0.7142857142857143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D-4F0D-923C-8C53089F0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axId val="1894649343"/>
        <c:axId val="1894649759"/>
      </c:barChart>
      <c:catAx>
        <c:axId val="189464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9759"/>
        <c:crosses val="autoZero"/>
        <c:auto val="1"/>
        <c:lblAlgn val="ctr"/>
        <c:lblOffset val="100"/>
        <c:noMultiLvlLbl val="0"/>
      </c:catAx>
      <c:valAx>
        <c:axId val="189464975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4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1B8AA"/>
            </a:solidFill>
            <a:ln>
              <a:noFill/>
            </a:ln>
          </c:spPr>
          <c:dPt>
            <c:idx val="0"/>
            <c:bubble3D val="0"/>
            <c:spPr>
              <a:solidFill>
                <a:srgbClr val="01B8A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E9-4D6A-B5C8-3E1BFC7A1DF7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12-4110-A218-CE5D273D5D57}"/>
              </c:ext>
            </c:extLst>
          </c:dPt>
          <c:cat>
            <c:strRef>
              <c:f>(Dashboard!$B$6,Dashboard!$D$6)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(Dashboard!$B$7,Dashboard!$D$7)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2-4110-A218-CE5D273D5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8</xdr:row>
      <xdr:rowOff>0</xdr:rowOff>
    </xdr:from>
    <xdr:to>
      <xdr:col>26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A95C5-8ADA-44C4-A486-C9DBF2911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25</xdr:col>
      <xdr:colOff>304800</xdr:colOff>
      <xdr:row>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AFE102-0C26-4A24-AF92-E6AB49673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4</xdr:col>
      <xdr:colOff>0</xdr:colOff>
      <xdr:row>17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4357F-A5EB-4BE2-B505-78A8CE8E2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9C4C-8977-4572-909D-11D7A6C13BCD}">
  <sheetPr codeName="Sheet1"/>
  <dimension ref="B1:E13"/>
  <sheetViews>
    <sheetView showGridLines="0" workbookViewId="0">
      <selection activeCell="Q13" sqref="Q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5" width="8.6328125" style="1" customWidth="1"/>
    <col min="6" max="16384" width="4.6328125" style="1"/>
  </cols>
  <sheetData>
    <row r="1" spans="2:5" s="2" customFormat="1" ht="35" customHeight="1" x14ac:dyDescent="0.35">
      <c r="B1" s="3" t="s">
        <v>0</v>
      </c>
    </row>
    <row r="3" spans="2:5" ht="20" customHeight="1" x14ac:dyDescent="0.35">
      <c r="B3" s="17" t="s">
        <v>1</v>
      </c>
      <c r="C3" s="18" t="s">
        <v>2</v>
      </c>
      <c r="D3" s="18" t="s">
        <v>3</v>
      </c>
      <c r="E3" s="18" t="s">
        <v>16</v>
      </c>
    </row>
    <row r="4" spans="2:5" ht="20" customHeight="1" x14ac:dyDescent="0.35">
      <c r="B4" s="14" t="s">
        <v>36</v>
      </c>
      <c r="C4" s="15">
        <f>SUM(JAN:DEC!AI4)</f>
        <v>93</v>
      </c>
      <c r="D4" s="15">
        <f>SUM(JAN:DEC!AJ4)</f>
        <v>2</v>
      </c>
      <c r="E4" s="16">
        <f>IF(C4+D4=0,0,C4/(C4+D4))</f>
        <v>0.97894736842105268</v>
      </c>
    </row>
    <row r="5" spans="2:5" ht="20" customHeight="1" x14ac:dyDescent="0.35">
      <c r="B5" s="5" t="s">
        <v>37</v>
      </c>
      <c r="C5" s="12">
        <f>SUM(JAN:DEC!AI5)</f>
        <v>91</v>
      </c>
      <c r="D5" s="12">
        <f>SUM(JAN:DEC!AJ5)</f>
        <v>1</v>
      </c>
      <c r="E5" s="13">
        <f t="shared" ref="E5:E13" si="0">IF(C5+D5=0,0,C5/(C5+D5))</f>
        <v>0.98913043478260865</v>
      </c>
    </row>
    <row r="6" spans="2:5" ht="20" customHeight="1" x14ac:dyDescent="0.35">
      <c r="B6" s="14" t="s">
        <v>38</v>
      </c>
      <c r="C6" s="12">
        <f>SUM(JAN:DEC!AI6)</f>
        <v>91</v>
      </c>
      <c r="D6" s="12">
        <f>SUM(JAN:DEC!AJ6)</f>
        <v>1</v>
      </c>
      <c r="E6" s="13">
        <f t="shared" si="0"/>
        <v>0.98913043478260865</v>
      </c>
    </row>
    <row r="7" spans="2:5" ht="20" customHeight="1" x14ac:dyDescent="0.35">
      <c r="B7" s="5" t="s">
        <v>39</v>
      </c>
      <c r="C7" s="12">
        <f>SUM(JAN:DEC!AI7)</f>
        <v>91</v>
      </c>
      <c r="D7" s="12">
        <f>SUM(JAN:DEC!AJ7)</f>
        <v>1</v>
      </c>
      <c r="E7" s="13">
        <f t="shared" si="0"/>
        <v>0.98913043478260865</v>
      </c>
    </row>
    <row r="8" spans="2:5" ht="20" customHeight="1" x14ac:dyDescent="0.35">
      <c r="B8" s="14" t="s">
        <v>40</v>
      </c>
      <c r="C8" s="12">
        <f>SUM(JAN:DEC!AI8)</f>
        <v>92</v>
      </c>
      <c r="D8" s="12">
        <f>SUM(JAN:DEC!AJ8)</f>
        <v>2</v>
      </c>
      <c r="E8" s="13">
        <f t="shared" si="0"/>
        <v>0.97872340425531912</v>
      </c>
    </row>
    <row r="9" spans="2:5" ht="20" customHeight="1" x14ac:dyDescent="0.35">
      <c r="B9" s="5" t="s">
        <v>41</v>
      </c>
      <c r="C9" s="12">
        <f>SUM(JAN:DEC!AI9)</f>
        <v>91</v>
      </c>
      <c r="D9" s="12">
        <f>SUM(JAN:DEC!AJ9)</f>
        <v>1</v>
      </c>
      <c r="E9" s="13">
        <f t="shared" si="0"/>
        <v>0.98913043478260865</v>
      </c>
    </row>
    <row r="10" spans="2:5" ht="20" customHeight="1" x14ac:dyDescent="0.35">
      <c r="B10" s="14" t="s">
        <v>42</v>
      </c>
      <c r="C10" s="12">
        <f>SUM(JAN:DEC!AI10)</f>
        <v>91</v>
      </c>
      <c r="D10" s="12">
        <f>SUM(JAN:DEC!AJ10)</f>
        <v>1</v>
      </c>
      <c r="E10" s="13">
        <f t="shared" si="0"/>
        <v>0.98913043478260865</v>
      </c>
    </row>
    <row r="11" spans="2:5" ht="20" customHeight="1" x14ac:dyDescent="0.35">
      <c r="B11" s="5" t="s">
        <v>43</v>
      </c>
      <c r="C11" s="12">
        <f>SUM(JAN:DEC!AI11)</f>
        <v>91</v>
      </c>
      <c r="D11" s="12">
        <f>SUM(JAN:DEC!AJ11)</f>
        <v>1</v>
      </c>
      <c r="E11" s="13">
        <f t="shared" si="0"/>
        <v>0.98913043478260865</v>
      </c>
    </row>
    <row r="12" spans="2:5" ht="20" customHeight="1" x14ac:dyDescent="0.35">
      <c r="B12" s="14" t="s">
        <v>44</v>
      </c>
      <c r="C12" s="12">
        <f>SUM(JAN:DEC!AI12)</f>
        <v>91</v>
      </c>
      <c r="D12" s="12">
        <f>SUM(JAN:DEC!AJ12)</f>
        <v>1</v>
      </c>
      <c r="E12" s="13">
        <f t="shared" si="0"/>
        <v>0.98913043478260865</v>
      </c>
    </row>
    <row r="13" spans="2:5" ht="20" customHeight="1" x14ac:dyDescent="0.35">
      <c r="B13" s="5" t="s">
        <v>45</v>
      </c>
      <c r="C13" s="12">
        <f>SUM(JAN:DEC!AI13)</f>
        <v>91</v>
      </c>
      <c r="D13" s="12">
        <f>SUM(JAN:DEC!AJ13)</f>
        <v>1</v>
      </c>
      <c r="E13" s="13">
        <f t="shared" si="0"/>
        <v>0.98913043478260865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39B3-C83C-4761-B0D0-D4A20D00382F}">
  <sheetPr codeName="Sheet2"/>
  <dimension ref="B1:S50"/>
  <sheetViews>
    <sheetView showGridLines="0" topLeftCell="A31" workbookViewId="0">
      <selection activeCell="C36" activeCellId="1" sqref="C50:N50 C36:N36"/>
    </sheetView>
  </sheetViews>
  <sheetFormatPr defaultColWidth="4.6328125" defaultRowHeight="20" customHeight="1" x14ac:dyDescent="0.35"/>
  <cols>
    <col min="1" max="1" width="4.6328125" style="1"/>
    <col min="2" max="2" width="26.6328125" style="4" customWidth="1"/>
    <col min="3" max="19" width="8.6328125" style="1" customWidth="1"/>
    <col min="20" max="16384" width="4.6328125" style="1"/>
  </cols>
  <sheetData>
    <row r="1" spans="2:19" s="2" customFormat="1" ht="35" customHeight="1" x14ac:dyDescent="0.35">
      <c r="B1" s="3" t="s">
        <v>17</v>
      </c>
    </row>
    <row r="3" spans="2:19" ht="20" customHeight="1" x14ac:dyDescent="0.35">
      <c r="C3" s="33" t="s">
        <v>2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2:19" ht="20" customHeight="1" x14ac:dyDescent="0.35">
      <c r="C4" s="21" t="s">
        <v>18</v>
      </c>
      <c r="D4" s="21" t="s">
        <v>19</v>
      </c>
      <c r="E4" s="21" t="s">
        <v>20</v>
      </c>
      <c r="F4" s="21" t="s">
        <v>21</v>
      </c>
      <c r="G4" s="21" t="s">
        <v>8</v>
      </c>
      <c r="H4" s="21" t="s">
        <v>22</v>
      </c>
      <c r="I4" s="21" t="s">
        <v>23</v>
      </c>
      <c r="J4" s="21" t="s">
        <v>24</v>
      </c>
      <c r="K4" s="21" t="s">
        <v>25</v>
      </c>
      <c r="L4" s="21" t="s">
        <v>26</v>
      </c>
      <c r="M4" s="21" t="s">
        <v>27</v>
      </c>
      <c r="N4" s="21" t="s">
        <v>28</v>
      </c>
      <c r="P4" s="21" t="s">
        <v>29</v>
      </c>
      <c r="R4" s="31" t="s">
        <v>2</v>
      </c>
      <c r="S4" s="19" cm="1">
        <f t="array" ref="S4">_xlfn.IFS(AND(ISBLANK(selectedHabit),ISBLANK(selectedMonth)),SUM(P5:P14),
ISBLANK(selectedHabit),INDEX(C16:N16,1,MATCH(selectedMonth,C4:N4,0)),
ISBLANK(selectedMonth),INDEX(P5:P14,MATCH(selectedHabit,_xlfn.ANCHORARRAY(B5),0)),
1,INDEX(C5:N14,MATCH(selectedHabit,_xlfn.ANCHORARRAY(B5),0),MATCH(selectedMonth,C4:N4,0)))</f>
        <v>3</v>
      </c>
    </row>
    <row r="5" spans="2:19" ht="20" customHeight="1" x14ac:dyDescent="0.35">
      <c r="B5" s="20" t="str" cm="1">
        <f t="array" ref="B5:B14">habitlist</f>
        <v>Habit 1</v>
      </c>
      <c r="C5" s="19">
        <f>JAN!AI4</f>
        <v>5</v>
      </c>
      <c r="D5" s="19">
        <f>FEB!AI4</f>
        <v>8</v>
      </c>
      <c r="E5" s="19">
        <f>MAR!AI4</f>
        <v>8</v>
      </c>
      <c r="F5" s="19">
        <f>APR!AI4</f>
        <v>8</v>
      </c>
      <c r="G5" s="19">
        <f>MAY!AI4</f>
        <v>8</v>
      </c>
      <c r="H5" s="19">
        <f>JUN!AI4</f>
        <v>8</v>
      </c>
      <c r="I5" s="19">
        <f>JUL!AI4</f>
        <v>8</v>
      </c>
      <c r="J5" s="19">
        <f>AUG!AI4</f>
        <v>8</v>
      </c>
      <c r="K5" s="19">
        <f>SEP!AI4</f>
        <v>8</v>
      </c>
      <c r="L5" s="19">
        <f>OCT!AI4</f>
        <v>8</v>
      </c>
      <c r="M5" s="19">
        <f>NOV!AI4</f>
        <v>8</v>
      </c>
      <c r="N5" s="19">
        <f>DEC!AI4</f>
        <v>8</v>
      </c>
      <c r="P5" s="19">
        <f>SUM(C5:N5)</f>
        <v>93</v>
      </c>
    </row>
    <row r="6" spans="2:19" ht="20" customHeight="1" x14ac:dyDescent="0.35">
      <c r="B6" s="20" t="str">
        <v>Habit 2</v>
      </c>
      <c r="C6" s="19">
        <f>JAN!AI5</f>
        <v>3</v>
      </c>
      <c r="D6" s="19">
        <f>FEB!AI5</f>
        <v>8</v>
      </c>
      <c r="E6" s="19">
        <f>MAR!AI5</f>
        <v>8</v>
      </c>
      <c r="F6" s="19">
        <f>APR!AI5</f>
        <v>8</v>
      </c>
      <c r="G6" s="19">
        <f>MAY!AI5</f>
        <v>8</v>
      </c>
      <c r="H6" s="19">
        <f>JUN!AI5</f>
        <v>8</v>
      </c>
      <c r="I6" s="19">
        <f>JUL!AI5</f>
        <v>8</v>
      </c>
      <c r="J6" s="19">
        <f>AUG!AI5</f>
        <v>8</v>
      </c>
      <c r="K6" s="19">
        <f>SEP!AI5</f>
        <v>8</v>
      </c>
      <c r="L6" s="19">
        <f>OCT!AI5</f>
        <v>8</v>
      </c>
      <c r="M6" s="19">
        <f>NOV!AI5</f>
        <v>8</v>
      </c>
      <c r="N6" s="19">
        <f>DEC!AI5</f>
        <v>8</v>
      </c>
      <c r="P6" s="19">
        <f t="shared" ref="P6:P14" si="0">SUM(C6:N6)</f>
        <v>91</v>
      </c>
    </row>
    <row r="7" spans="2:19" ht="20" customHeight="1" x14ac:dyDescent="0.35">
      <c r="B7" s="20" t="str">
        <v>Habit 3</v>
      </c>
      <c r="C7" s="19">
        <f>JAN!AI6</f>
        <v>3</v>
      </c>
      <c r="D7" s="19">
        <f>FEB!AI6</f>
        <v>8</v>
      </c>
      <c r="E7" s="19">
        <f>MAR!AI6</f>
        <v>8</v>
      </c>
      <c r="F7" s="19">
        <f>APR!AI6</f>
        <v>8</v>
      </c>
      <c r="G7" s="19">
        <f>MAY!AI6</f>
        <v>8</v>
      </c>
      <c r="H7" s="19">
        <f>JUN!AI6</f>
        <v>8</v>
      </c>
      <c r="I7" s="19">
        <f>JUL!AI6</f>
        <v>8</v>
      </c>
      <c r="J7" s="19">
        <f>AUG!AI6</f>
        <v>8</v>
      </c>
      <c r="K7" s="19">
        <f>SEP!AI6</f>
        <v>8</v>
      </c>
      <c r="L7" s="19">
        <f>OCT!AI6</f>
        <v>8</v>
      </c>
      <c r="M7" s="19">
        <f>NOV!AI6</f>
        <v>8</v>
      </c>
      <c r="N7" s="19">
        <f>DEC!AI6</f>
        <v>8</v>
      </c>
      <c r="P7" s="19">
        <f t="shared" si="0"/>
        <v>91</v>
      </c>
    </row>
    <row r="8" spans="2:19" ht="20" customHeight="1" x14ac:dyDescent="0.35">
      <c r="B8" s="20" t="str">
        <v>Habit 4</v>
      </c>
      <c r="C8" s="19">
        <f>JAN!AI7</f>
        <v>3</v>
      </c>
      <c r="D8" s="19">
        <f>FEB!AI7</f>
        <v>8</v>
      </c>
      <c r="E8" s="19">
        <f>MAR!AI7</f>
        <v>8</v>
      </c>
      <c r="F8" s="19">
        <f>APR!AI7</f>
        <v>8</v>
      </c>
      <c r="G8" s="19">
        <f>MAY!AI7</f>
        <v>8</v>
      </c>
      <c r="H8" s="19">
        <f>JUN!AI7</f>
        <v>8</v>
      </c>
      <c r="I8" s="19">
        <f>JUL!AI7</f>
        <v>8</v>
      </c>
      <c r="J8" s="19">
        <f>AUG!AI7</f>
        <v>8</v>
      </c>
      <c r="K8" s="19">
        <f>SEP!AI7</f>
        <v>8</v>
      </c>
      <c r="L8" s="19">
        <f>OCT!AI7</f>
        <v>8</v>
      </c>
      <c r="M8" s="19">
        <f>NOV!AI7</f>
        <v>8</v>
      </c>
      <c r="N8" s="19">
        <f>DEC!AI7</f>
        <v>8</v>
      </c>
      <c r="P8" s="19">
        <f t="shared" si="0"/>
        <v>91</v>
      </c>
    </row>
    <row r="9" spans="2:19" ht="20" customHeight="1" x14ac:dyDescent="0.35">
      <c r="B9" s="20" t="str">
        <v>Habit 5</v>
      </c>
      <c r="C9" s="19">
        <f>JAN!AI8</f>
        <v>3</v>
      </c>
      <c r="D9" s="19">
        <f>FEB!AI8</f>
        <v>8</v>
      </c>
      <c r="E9" s="19">
        <f>MAR!AI8</f>
        <v>8</v>
      </c>
      <c r="F9" s="19">
        <f>APR!AI8</f>
        <v>9</v>
      </c>
      <c r="G9" s="19">
        <f>MAY!AI8</f>
        <v>8</v>
      </c>
      <c r="H9" s="19">
        <f>JUN!AI8</f>
        <v>8</v>
      </c>
      <c r="I9" s="19">
        <f>JUL!AI8</f>
        <v>8</v>
      </c>
      <c r="J9" s="19">
        <f>AUG!AI8</f>
        <v>8</v>
      </c>
      <c r="K9" s="19">
        <f>SEP!AI8</f>
        <v>8</v>
      </c>
      <c r="L9" s="19">
        <f>OCT!AI8</f>
        <v>8</v>
      </c>
      <c r="M9" s="19">
        <f>NOV!AI8</f>
        <v>8</v>
      </c>
      <c r="N9" s="19">
        <f>DEC!AI8</f>
        <v>8</v>
      </c>
      <c r="P9" s="19">
        <f t="shared" si="0"/>
        <v>92</v>
      </c>
    </row>
    <row r="10" spans="2:19" ht="20" customHeight="1" x14ac:dyDescent="0.35">
      <c r="B10" s="20" t="str">
        <v>Habit 6</v>
      </c>
      <c r="C10" s="19">
        <f>JAN!AI9</f>
        <v>3</v>
      </c>
      <c r="D10" s="19">
        <f>FEB!AI9</f>
        <v>8</v>
      </c>
      <c r="E10" s="19">
        <f>MAR!AI9</f>
        <v>8</v>
      </c>
      <c r="F10" s="19">
        <f>APR!AI9</f>
        <v>8</v>
      </c>
      <c r="G10" s="19">
        <f>MAY!AI9</f>
        <v>8</v>
      </c>
      <c r="H10" s="19">
        <f>JUN!AI9</f>
        <v>8</v>
      </c>
      <c r="I10" s="19">
        <f>JUL!AI9</f>
        <v>8</v>
      </c>
      <c r="J10" s="19">
        <f>AUG!AI9</f>
        <v>8</v>
      </c>
      <c r="K10" s="19">
        <f>SEP!AI9</f>
        <v>8</v>
      </c>
      <c r="L10" s="19">
        <f>OCT!AI9</f>
        <v>8</v>
      </c>
      <c r="M10" s="19">
        <f>NOV!AI9</f>
        <v>8</v>
      </c>
      <c r="N10" s="19">
        <f>DEC!AI9</f>
        <v>8</v>
      </c>
      <c r="P10" s="19">
        <f t="shared" si="0"/>
        <v>91</v>
      </c>
    </row>
    <row r="11" spans="2:19" ht="20" customHeight="1" x14ac:dyDescent="0.35">
      <c r="B11" s="20" t="str">
        <v>Habit 7</v>
      </c>
      <c r="C11" s="19">
        <f>JAN!AI10</f>
        <v>3</v>
      </c>
      <c r="D11" s="19">
        <f>FEB!AI10</f>
        <v>8</v>
      </c>
      <c r="E11" s="19">
        <f>MAR!AI10</f>
        <v>8</v>
      </c>
      <c r="F11" s="19">
        <f>APR!AI10</f>
        <v>8</v>
      </c>
      <c r="G11" s="19">
        <f>MAY!AI10</f>
        <v>8</v>
      </c>
      <c r="H11" s="19">
        <f>JUN!AI10</f>
        <v>8</v>
      </c>
      <c r="I11" s="19">
        <f>JUL!AI10</f>
        <v>8</v>
      </c>
      <c r="J11" s="19">
        <f>AUG!AI10</f>
        <v>8</v>
      </c>
      <c r="K11" s="19">
        <f>SEP!AI10</f>
        <v>8</v>
      </c>
      <c r="L11" s="19">
        <f>OCT!AI10</f>
        <v>8</v>
      </c>
      <c r="M11" s="19">
        <f>NOV!AI10</f>
        <v>8</v>
      </c>
      <c r="N11" s="19">
        <f>DEC!AI10</f>
        <v>8</v>
      </c>
      <c r="P11" s="19">
        <f t="shared" si="0"/>
        <v>91</v>
      </c>
    </row>
    <row r="12" spans="2:19" ht="20" customHeight="1" x14ac:dyDescent="0.35">
      <c r="B12" s="20" t="str">
        <v>Habit 8</v>
      </c>
      <c r="C12" s="19">
        <f>JAN!AI11</f>
        <v>3</v>
      </c>
      <c r="D12" s="19">
        <f>FEB!AI11</f>
        <v>8</v>
      </c>
      <c r="E12" s="19">
        <f>MAR!AI11</f>
        <v>8</v>
      </c>
      <c r="F12" s="19">
        <f>APR!AI11</f>
        <v>8</v>
      </c>
      <c r="G12" s="19">
        <f>MAY!AI11</f>
        <v>8</v>
      </c>
      <c r="H12" s="19">
        <f>JUN!AI11</f>
        <v>8</v>
      </c>
      <c r="I12" s="19">
        <f>JUL!AI11</f>
        <v>8</v>
      </c>
      <c r="J12" s="19">
        <f>AUG!AI11</f>
        <v>8</v>
      </c>
      <c r="K12" s="19">
        <f>SEP!AI11</f>
        <v>8</v>
      </c>
      <c r="L12" s="19">
        <f>OCT!AI11</f>
        <v>8</v>
      </c>
      <c r="M12" s="19">
        <f>NOV!AI11</f>
        <v>8</v>
      </c>
      <c r="N12" s="19">
        <f>DEC!AI11</f>
        <v>8</v>
      </c>
      <c r="P12" s="19">
        <f t="shared" si="0"/>
        <v>91</v>
      </c>
    </row>
    <row r="13" spans="2:19" ht="20" customHeight="1" x14ac:dyDescent="0.35">
      <c r="B13" s="20" t="str">
        <v>Habit 9</v>
      </c>
      <c r="C13" s="19">
        <f>JAN!AI12</f>
        <v>3</v>
      </c>
      <c r="D13" s="19">
        <f>FEB!AI12</f>
        <v>8</v>
      </c>
      <c r="E13" s="19">
        <f>MAR!AI12</f>
        <v>8</v>
      </c>
      <c r="F13" s="19">
        <f>APR!AI12</f>
        <v>8</v>
      </c>
      <c r="G13" s="19">
        <f>MAY!AI12</f>
        <v>8</v>
      </c>
      <c r="H13" s="19">
        <f>JUN!AI12</f>
        <v>8</v>
      </c>
      <c r="I13" s="19">
        <f>JUL!AI12</f>
        <v>8</v>
      </c>
      <c r="J13" s="19">
        <f>AUG!AI12</f>
        <v>8</v>
      </c>
      <c r="K13" s="19">
        <f>SEP!AI12</f>
        <v>8</v>
      </c>
      <c r="L13" s="19">
        <f>OCT!AI12</f>
        <v>8</v>
      </c>
      <c r="M13" s="19">
        <f>NOV!AI12</f>
        <v>8</v>
      </c>
      <c r="N13" s="19">
        <f>DEC!AI12</f>
        <v>8</v>
      </c>
      <c r="P13" s="19">
        <f t="shared" si="0"/>
        <v>91</v>
      </c>
    </row>
    <row r="14" spans="2:19" ht="20" customHeight="1" x14ac:dyDescent="0.35">
      <c r="B14" s="20" t="str">
        <v>Habit 10</v>
      </c>
      <c r="C14" s="19">
        <f>JAN!AI13</f>
        <v>3</v>
      </c>
      <c r="D14" s="19">
        <f>FEB!AI13</f>
        <v>8</v>
      </c>
      <c r="E14" s="19">
        <f>MAR!AI13</f>
        <v>8</v>
      </c>
      <c r="F14" s="19">
        <f>APR!AI13</f>
        <v>8</v>
      </c>
      <c r="G14" s="19">
        <f>MAY!AI13</f>
        <v>8</v>
      </c>
      <c r="H14" s="19">
        <f>JUN!AI13</f>
        <v>8</v>
      </c>
      <c r="I14" s="19">
        <f>JUL!AI13</f>
        <v>8</v>
      </c>
      <c r="J14" s="19">
        <f>AUG!AI13</f>
        <v>8</v>
      </c>
      <c r="K14" s="19">
        <f>SEP!AI13</f>
        <v>8</v>
      </c>
      <c r="L14" s="19">
        <f>OCT!AI13</f>
        <v>8</v>
      </c>
      <c r="M14" s="19">
        <f>NOV!AI13</f>
        <v>8</v>
      </c>
      <c r="N14" s="19">
        <f>DEC!AI13</f>
        <v>8</v>
      </c>
      <c r="P14" s="19">
        <f t="shared" si="0"/>
        <v>91</v>
      </c>
    </row>
    <row r="16" spans="2:19" ht="20" customHeight="1" x14ac:dyDescent="0.35">
      <c r="B16" s="20" t="s">
        <v>29</v>
      </c>
      <c r="C16" s="19">
        <f>SUM(C5:C14)</f>
        <v>32</v>
      </c>
      <c r="D16" s="19">
        <f>SUM(D5:D14)</f>
        <v>80</v>
      </c>
      <c r="E16" s="19">
        <f t="shared" ref="E16:N16" si="1">SUM(E5:E14)</f>
        <v>80</v>
      </c>
      <c r="F16" s="19">
        <f t="shared" si="1"/>
        <v>81</v>
      </c>
      <c r="G16" s="19">
        <f t="shared" si="1"/>
        <v>80</v>
      </c>
      <c r="H16" s="19">
        <f t="shared" si="1"/>
        <v>80</v>
      </c>
      <c r="I16" s="19">
        <f t="shared" si="1"/>
        <v>80</v>
      </c>
      <c r="J16" s="19">
        <f t="shared" si="1"/>
        <v>80</v>
      </c>
      <c r="K16" s="19">
        <f t="shared" si="1"/>
        <v>80</v>
      </c>
      <c r="L16" s="19">
        <f t="shared" si="1"/>
        <v>80</v>
      </c>
      <c r="M16" s="19">
        <f t="shared" si="1"/>
        <v>80</v>
      </c>
      <c r="N16" s="19">
        <f t="shared" si="1"/>
        <v>80</v>
      </c>
    </row>
    <row r="19" spans="2:19" ht="20" customHeight="1" x14ac:dyDescent="0.35">
      <c r="C19" s="33" t="s">
        <v>3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/>
    </row>
    <row r="20" spans="2:19" ht="20" customHeight="1" x14ac:dyDescent="0.35">
      <c r="C20" s="21" t="s">
        <v>18</v>
      </c>
      <c r="D20" s="21" t="s">
        <v>19</v>
      </c>
      <c r="E20" s="21" t="s">
        <v>20</v>
      </c>
      <c r="F20" s="21" t="s">
        <v>21</v>
      </c>
      <c r="G20" s="21" t="s">
        <v>8</v>
      </c>
      <c r="H20" s="21" t="s">
        <v>22</v>
      </c>
      <c r="I20" s="21" t="s">
        <v>23</v>
      </c>
      <c r="J20" s="21" t="s">
        <v>24</v>
      </c>
      <c r="K20" s="21" t="s">
        <v>25</v>
      </c>
      <c r="L20" s="21" t="s">
        <v>26</v>
      </c>
      <c r="M20" s="21" t="s">
        <v>27</v>
      </c>
      <c r="N20" s="21" t="s">
        <v>28</v>
      </c>
      <c r="P20" s="21" t="s">
        <v>29</v>
      </c>
      <c r="R20" s="31" t="s">
        <v>3</v>
      </c>
      <c r="S20" s="19" cm="1">
        <f t="array" ref="S20">_xlfn.IFS(AND(ISBLANK(selectedHabit),ISBLANK(selectedMonth)),SUM(P21:P30),
ISBLANK(selectedHabit),INDEX(C32:N32,1,MATCH(selectedMonth,C20:N20,0)),
ISBLANK(selectedMonth),INDEX(P21:P30,MATCH(selectedHabit,_xlfn.ANCHORARRAY(B21),0)),
1,INDEX(C21:N30,MATCH(selectedHabit,_xlfn.ANCHORARRAY(B21),0),MATCH(selectedMonth,C20:N20,0)))</f>
        <v>1</v>
      </c>
    </row>
    <row r="21" spans="2:19" ht="20" customHeight="1" x14ac:dyDescent="0.35">
      <c r="B21" s="20" t="str" cm="1">
        <f t="array" ref="B21:B30">habitlist</f>
        <v>Habit 1</v>
      </c>
      <c r="C21" s="19">
        <f>JAN!AJ4</f>
        <v>2</v>
      </c>
      <c r="D21" s="19">
        <f>FEB!AJ4</f>
        <v>0</v>
      </c>
      <c r="E21" s="19">
        <f>MAR!AJ4</f>
        <v>0</v>
      </c>
      <c r="F21" s="19">
        <f>APR!AJ4</f>
        <v>0</v>
      </c>
      <c r="G21" s="19">
        <f>MAY!AJ4</f>
        <v>0</v>
      </c>
      <c r="H21" s="19">
        <f>JUN!AJ4</f>
        <v>0</v>
      </c>
      <c r="I21" s="19">
        <f>JUL!AJ4</f>
        <v>0</v>
      </c>
      <c r="J21" s="19">
        <f>AUG!AJ4</f>
        <v>0</v>
      </c>
      <c r="K21" s="19">
        <f>SEP!AJ4</f>
        <v>0</v>
      </c>
      <c r="L21" s="19">
        <f>OCT!AJ4</f>
        <v>0</v>
      </c>
      <c r="M21" s="19">
        <f>NOV!AJ4</f>
        <v>0</v>
      </c>
      <c r="N21" s="19">
        <f>DEC!AJ4</f>
        <v>0</v>
      </c>
      <c r="P21" s="19">
        <f>SUM(C21:N21)</f>
        <v>2</v>
      </c>
    </row>
    <row r="22" spans="2:19" ht="20" customHeight="1" x14ac:dyDescent="0.35">
      <c r="B22" s="20" t="str">
        <v>Habit 2</v>
      </c>
      <c r="C22" s="19">
        <f>JAN!AJ5</f>
        <v>1</v>
      </c>
      <c r="D22" s="19">
        <f>FEB!AJ5</f>
        <v>0</v>
      </c>
      <c r="E22" s="19">
        <f>MAR!AJ5</f>
        <v>0</v>
      </c>
      <c r="F22" s="19">
        <f>APR!AJ5</f>
        <v>0</v>
      </c>
      <c r="G22" s="19">
        <f>MAY!AJ5</f>
        <v>0</v>
      </c>
      <c r="H22" s="19">
        <f>JUN!AJ5</f>
        <v>0</v>
      </c>
      <c r="I22" s="19">
        <f>JUL!AJ5</f>
        <v>0</v>
      </c>
      <c r="J22" s="19">
        <f>AUG!AJ5</f>
        <v>0</v>
      </c>
      <c r="K22" s="19">
        <f>SEP!AJ5</f>
        <v>0</v>
      </c>
      <c r="L22" s="19">
        <f>OCT!AJ5</f>
        <v>0</v>
      </c>
      <c r="M22" s="19">
        <f>NOV!AJ5</f>
        <v>0</v>
      </c>
      <c r="N22" s="19">
        <f>DEC!AJ5</f>
        <v>0</v>
      </c>
      <c r="P22" s="19">
        <f t="shared" ref="P22:P30" si="2">SUM(C22:N22)</f>
        <v>1</v>
      </c>
    </row>
    <row r="23" spans="2:19" ht="20" customHeight="1" x14ac:dyDescent="0.35">
      <c r="B23" s="20" t="str">
        <v>Habit 3</v>
      </c>
      <c r="C23" s="19">
        <f>JAN!AJ6</f>
        <v>1</v>
      </c>
      <c r="D23" s="19">
        <f>FEB!AJ6</f>
        <v>0</v>
      </c>
      <c r="E23" s="19">
        <f>MAR!AJ6</f>
        <v>0</v>
      </c>
      <c r="F23" s="19">
        <f>APR!AJ6</f>
        <v>0</v>
      </c>
      <c r="G23" s="19">
        <f>MAY!AJ6</f>
        <v>0</v>
      </c>
      <c r="H23" s="19">
        <f>JUN!AJ6</f>
        <v>0</v>
      </c>
      <c r="I23" s="19">
        <f>JUL!AJ6</f>
        <v>0</v>
      </c>
      <c r="J23" s="19">
        <f>AUG!AJ6</f>
        <v>0</v>
      </c>
      <c r="K23" s="19">
        <f>SEP!AJ6</f>
        <v>0</v>
      </c>
      <c r="L23" s="19">
        <f>OCT!AJ6</f>
        <v>0</v>
      </c>
      <c r="M23" s="19">
        <f>NOV!AJ6</f>
        <v>0</v>
      </c>
      <c r="N23" s="19">
        <f>DEC!AJ6</f>
        <v>0</v>
      </c>
      <c r="P23" s="19">
        <f t="shared" si="2"/>
        <v>1</v>
      </c>
    </row>
    <row r="24" spans="2:19" ht="20" customHeight="1" x14ac:dyDescent="0.35">
      <c r="B24" s="20" t="str">
        <v>Habit 4</v>
      </c>
      <c r="C24" s="19">
        <f>JAN!AJ7</f>
        <v>1</v>
      </c>
      <c r="D24" s="19">
        <f>FEB!AJ7</f>
        <v>0</v>
      </c>
      <c r="E24" s="19">
        <f>MAR!AJ7</f>
        <v>0</v>
      </c>
      <c r="F24" s="19">
        <f>APR!AJ7</f>
        <v>0</v>
      </c>
      <c r="G24" s="19">
        <f>MAY!AJ7</f>
        <v>0</v>
      </c>
      <c r="H24" s="19">
        <f>JUN!AJ7</f>
        <v>0</v>
      </c>
      <c r="I24" s="19">
        <f>JUL!AJ7</f>
        <v>0</v>
      </c>
      <c r="J24" s="19">
        <f>AUG!AJ7</f>
        <v>0</v>
      </c>
      <c r="K24" s="19">
        <f>SEP!AJ7</f>
        <v>0</v>
      </c>
      <c r="L24" s="19">
        <f>OCT!AJ7</f>
        <v>0</v>
      </c>
      <c r="M24" s="19">
        <f>NOV!AJ7</f>
        <v>0</v>
      </c>
      <c r="N24" s="19">
        <f>DEC!AJ7</f>
        <v>0</v>
      </c>
      <c r="P24" s="19">
        <f t="shared" si="2"/>
        <v>1</v>
      </c>
    </row>
    <row r="25" spans="2:19" ht="20" customHeight="1" x14ac:dyDescent="0.35">
      <c r="B25" s="20" t="str">
        <v>Habit 5</v>
      </c>
      <c r="C25" s="19">
        <f>JAN!AJ8</f>
        <v>1</v>
      </c>
      <c r="D25" s="19">
        <f>FEB!AJ8</f>
        <v>0</v>
      </c>
      <c r="E25" s="19">
        <f>MAR!AJ8</f>
        <v>0</v>
      </c>
      <c r="F25" s="19">
        <f>APR!AJ8</f>
        <v>1</v>
      </c>
      <c r="G25" s="19">
        <f>MAY!AJ8</f>
        <v>0</v>
      </c>
      <c r="H25" s="19">
        <f>JUN!AJ8</f>
        <v>0</v>
      </c>
      <c r="I25" s="19">
        <f>JUL!AJ8</f>
        <v>0</v>
      </c>
      <c r="J25" s="19">
        <f>AUG!AJ8</f>
        <v>0</v>
      </c>
      <c r="K25" s="19">
        <f>SEP!AJ8</f>
        <v>0</v>
      </c>
      <c r="L25" s="19">
        <f>OCT!AJ8</f>
        <v>0</v>
      </c>
      <c r="M25" s="19">
        <f>NOV!AJ8</f>
        <v>0</v>
      </c>
      <c r="N25" s="19">
        <f>DEC!AJ8</f>
        <v>0</v>
      </c>
      <c r="P25" s="19">
        <f t="shared" si="2"/>
        <v>2</v>
      </c>
    </row>
    <row r="26" spans="2:19" ht="20" customHeight="1" x14ac:dyDescent="0.35">
      <c r="B26" s="20" t="str">
        <v>Habit 6</v>
      </c>
      <c r="C26" s="19">
        <f>JAN!AJ9</f>
        <v>1</v>
      </c>
      <c r="D26" s="19">
        <f>FEB!AJ9</f>
        <v>0</v>
      </c>
      <c r="E26" s="19">
        <f>MAR!AJ9</f>
        <v>0</v>
      </c>
      <c r="F26" s="19">
        <f>APR!AJ9</f>
        <v>0</v>
      </c>
      <c r="G26" s="19">
        <f>MAY!AJ9</f>
        <v>0</v>
      </c>
      <c r="H26" s="19">
        <f>JUN!AJ9</f>
        <v>0</v>
      </c>
      <c r="I26" s="19">
        <f>JUL!AJ9</f>
        <v>0</v>
      </c>
      <c r="J26" s="19">
        <f>AUG!AJ9</f>
        <v>0</v>
      </c>
      <c r="K26" s="19">
        <f>SEP!AJ9</f>
        <v>0</v>
      </c>
      <c r="L26" s="19">
        <f>OCT!AJ9</f>
        <v>0</v>
      </c>
      <c r="M26" s="19">
        <f>NOV!AJ9</f>
        <v>0</v>
      </c>
      <c r="N26" s="19">
        <f>DEC!AJ9</f>
        <v>0</v>
      </c>
      <c r="P26" s="19">
        <f t="shared" si="2"/>
        <v>1</v>
      </c>
    </row>
    <row r="27" spans="2:19" ht="20" customHeight="1" x14ac:dyDescent="0.35">
      <c r="B27" s="20" t="str">
        <v>Habit 7</v>
      </c>
      <c r="C27" s="19">
        <f>JAN!AJ10</f>
        <v>1</v>
      </c>
      <c r="D27" s="19">
        <f>FEB!AJ10</f>
        <v>0</v>
      </c>
      <c r="E27" s="19">
        <f>MAR!AJ10</f>
        <v>0</v>
      </c>
      <c r="F27" s="19">
        <f>APR!AJ10</f>
        <v>0</v>
      </c>
      <c r="G27" s="19">
        <f>MAY!AJ10</f>
        <v>0</v>
      </c>
      <c r="H27" s="19">
        <f>JUN!AJ10</f>
        <v>0</v>
      </c>
      <c r="I27" s="19">
        <f>JUL!AJ10</f>
        <v>0</v>
      </c>
      <c r="J27" s="19">
        <f>AUG!AJ10</f>
        <v>0</v>
      </c>
      <c r="K27" s="19">
        <f>SEP!AJ10</f>
        <v>0</v>
      </c>
      <c r="L27" s="19">
        <f>OCT!AJ10</f>
        <v>0</v>
      </c>
      <c r="M27" s="19">
        <f>NOV!AJ10</f>
        <v>0</v>
      </c>
      <c r="N27" s="19">
        <f>DEC!AJ10</f>
        <v>0</v>
      </c>
      <c r="P27" s="19">
        <f t="shared" si="2"/>
        <v>1</v>
      </c>
    </row>
    <row r="28" spans="2:19" ht="20" customHeight="1" x14ac:dyDescent="0.35">
      <c r="B28" s="20" t="str">
        <v>Habit 8</v>
      </c>
      <c r="C28" s="19">
        <f>JAN!AJ11</f>
        <v>1</v>
      </c>
      <c r="D28" s="19">
        <f>FEB!AJ11</f>
        <v>0</v>
      </c>
      <c r="E28" s="19">
        <f>MAR!AJ11</f>
        <v>0</v>
      </c>
      <c r="F28" s="19">
        <f>APR!AJ11</f>
        <v>0</v>
      </c>
      <c r="G28" s="19">
        <f>MAY!AJ11</f>
        <v>0</v>
      </c>
      <c r="H28" s="19">
        <f>JUN!AJ11</f>
        <v>0</v>
      </c>
      <c r="I28" s="19">
        <f>JUL!AJ11</f>
        <v>0</v>
      </c>
      <c r="J28" s="19">
        <f>AUG!AJ11</f>
        <v>0</v>
      </c>
      <c r="K28" s="19">
        <f>SEP!AJ11</f>
        <v>0</v>
      </c>
      <c r="L28" s="19">
        <f>OCT!AJ11</f>
        <v>0</v>
      </c>
      <c r="M28" s="19">
        <f>NOV!AJ11</f>
        <v>0</v>
      </c>
      <c r="N28" s="19">
        <f>DEC!AJ11</f>
        <v>0</v>
      </c>
      <c r="P28" s="19">
        <f t="shared" si="2"/>
        <v>1</v>
      </c>
    </row>
    <row r="29" spans="2:19" ht="20" customHeight="1" x14ac:dyDescent="0.35">
      <c r="B29" s="20" t="str">
        <v>Habit 9</v>
      </c>
      <c r="C29" s="19">
        <f>JAN!AJ12</f>
        <v>1</v>
      </c>
      <c r="D29" s="19">
        <f>FEB!AJ12</f>
        <v>0</v>
      </c>
      <c r="E29" s="19">
        <f>MAR!AJ12</f>
        <v>0</v>
      </c>
      <c r="F29" s="19">
        <f>APR!AJ12</f>
        <v>0</v>
      </c>
      <c r="G29" s="19">
        <f>MAY!AJ12</f>
        <v>0</v>
      </c>
      <c r="H29" s="19">
        <f>JUN!AJ12</f>
        <v>0</v>
      </c>
      <c r="I29" s="19">
        <f>JUL!AJ12</f>
        <v>0</v>
      </c>
      <c r="J29" s="19">
        <f>AUG!AJ12</f>
        <v>0</v>
      </c>
      <c r="K29" s="19">
        <f>SEP!AJ12</f>
        <v>0</v>
      </c>
      <c r="L29" s="19">
        <f>OCT!AJ12</f>
        <v>0</v>
      </c>
      <c r="M29" s="19">
        <f>NOV!AJ12</f>
        <v>0</v>
      </c>
      <c r="N29" s="19">
        <f>DEC!AJ12</f>
        <v>0</v>
      </c>
      <c r="P29" s="19">
        <f t="shared" si="2"/>
        <v>1</v>
      </c>
    </row>
    <row r="30" spans="2:19" ht="20" customHeight="1" x14ac:dyDescent="0.35">
      <c r="B30" s="20" t="str">
        <v>Habit 10</v>
      </c>
      <c r="C30" s="19">
        <f>JAN!AJ13</f>
        <v>1</v>
      </c>
      <c r="D30" s="19">
        <f>FEB!AJ13</f>
        <v>0</v>
      </c>
      <c r="E30" s="19">
        <f>MAR!AJ13</f>
        <v>0</v>
      </c>
      <c r="F30" s="19">
        <f>APR!AJ13</f>
        <v>0</v>
      </c>
      <c r="G30" s="19">
        <f>MAY!AJ13</f>
        <v>0</v>
      </c>
      <c r="H30" s="19">
        <f>JUN!AJ13</f>
        <v>0</v>
      </c>
      <c r="I30" s="19">
        <f>JUL!AJ13</f>
        <v>0</v>
      </c>
      <c r="J30" s="19">
        <f>AUG!AJ13</f>
        <v>0</v>
      </c>
      <c r="K30" s="19">
        <f>SEP!AJ13</f>
        <v>0</v>
      </c>
      <c r="L30" s="19">
        <f>OCT!AJ13</f>
        <v>0</v>
      </c>
      <c r="M30" s="19">
        <f>NOV!AJ13</f>
        <v>0</v>
      </c>
      <c r="N30" s="19">
        <f>DEC!AJ13</f>
        <v>0</v>
      </c>
      <c r="P30" s="19">
        <f t="shared" si="2"/>
        <v>1</v>
      </c>
    </row>
    <row r="32" spans="2:19" ht="20" customHeight="1" x14ac:dyDescent="0.35">
      <c r="B32" s="20" t="s">
        <v>29</v>
      </c>
      <c r="C32" s="19">
        <f>SUM(C21:C30)</f>
        <v>11</v>
      </c>
      <c r="D32" s="19">
        <f t="shared" ref="D32:N32" si="3">SUM(D21:D30)</f>
        <v>0</v>
      </c>
      <c r="E32" s="19">
        <f t="shared" si="3"/>
        <v>0</v>
      </c>
      <c r="F32" s="19">
        <f t="shared" si="3"/>
        <v>1</v>
      </c>
      <c r="G32" s="19">
        <f t="shared" si="3"/>
        <v>0</v>
      </c>
      <c r="H32" s="19">
        <f t="shared" si="3"/>
        <v>0</v>
      </c>
      <c r="I32" s="19">
        <f t="shared" si="3"/>
        <v>0</v>
      </c>
      <c r="J32" s="19">
        <f t="shared" si="3"/>
        <v>0</v>
      </c>
      <c r="K32" s="19">
        <f t="shared" si="3"/>
        <v>0</v>
      </c>
      <c r="L32" s="19">
        <f t="shared" si="3"/>
        <v>0</v>
      </c>
      <c r="M32" s="19">
        <f t="shared" si="3"/>
        <v>0</v>
      </c>
      <c r="N32" s="19">
        <f t="shared" si="3"/>
        <v>0</v>
      </c>
    </row>
    <row r="35" spans="2:18" ht="20" customHeight="1" x14ac:dyDescent="0.35">
      <c r="C35" s="33" t="s">
        <v>30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5"/>
    </row>
    <row r="36" spans="2:18" ht="20" customHeight="1" x14ac:dyDescent="0.35">
      <c r="C36" s="21" t="s">
        <v>18</v>
      </c>
      <c r="D36" s="21" t="s">
        <v>19</v>
      </c>
      <c r="E36" s="21" t="s">
        <v>20</v>
      </c>
      <c r="F36" s="21" t="s">
        <v>21</v>
      </c>
      <c r="G36" s="21" t="s">
        <v>8</v>
      </c>
      <c r="H36" s="21" t="s">
        <v>22</v>
      </c>
      <c r="I36" s="21" t="s">
        <v>23</v>
      </c>
      <c r="J36" s="21" t="s">
        <v>24</v>
      </c>
      <c r="K36" s="21" t="s">
        <v>25</v>
      </c>
      <c r="L36" s="21" t="s">
        <v>26</v>
      </c>
      <c r="M36" s="21" t="s">
        <v>27</v>
      </c>
      <c r="N36" s="21" t="s">
        <v>28</v>
      </c>
      <c r="P36" s="21" t="s">
        <v>29</v>
      </c>
      <c r="R36" s="21" t="s">
        <v>34</v>
      </c>
    </row>
    <row r="37" spans="2:18" ht="20" customHeight="1" x14ac:dyDescent="0.35">
      <c r="B37" s="20" t="str" cm="1">
        <f t="array" ref="B37:B46">habitlist</f>
        <v>Habit 1</v>
      </c>
      <c r="C37" s="22">
        <f>IF(C5+C21=0, NA(),C5/(C5+C21))</f>
        <v>0.7142857142857143</v>
      </c>
      <c r="D37" s="22">
        <f t="shared" ref="D37:N37" si="4">IF(D5+D21=0, NA(),D5/(D5+D21))</f>
        <v>1</v>
      </c>
      <c r="E37" s="22">
        <f t="shared" si="4"/>
        <v>1</v>
      </c>
      <c r="F37" s="22">
        <f t="shared" si="4"/>
        <v>1</v>
      </c>
      <c r="G37" s="22">
        <f t="shared" si="4"/>
        <v>1</v>
      </c>
      <c r="H37" s="22">
        <f t="shared" si="4"/>
        <v>1</v>
      </c>
      <c r="I37" s="22">
        <f t="shared" si="4"/>
        <v>1</v>
      </c>
      <c r="J37" s="22">
        <f t="shared" si="4"/>
        <v>1</v>
      </c>
      <c r="K37" s="22">
        <f t="shared" si="4"/>
        <v>1</v>
      </c>
      <c r="L37" s="22">
        <f t="shared" si="4"/>
        <v>1</v>
      </c>
      <c r="M37" s="22">
        <f t="shared" si="4"/>
        <v>1</v>
      </c>
      <c r="N37" s="22">
        <f t="shared" si="4"/>
        <v>1</v>
      </c>
      <c r="P37" s="23">
        <f>AVERAGE(C37:N37)</f>
        <v>0.97619047619047628</v>
      </c>
      <c r="R37" s="23">
        <f t="shared" ref="R37:R46" si="5">IF(ISBLANK(selectedMonth),P37,INDEX(C37:N37,1,MATCH(selectedMonth,$C$36:$N$36,0)))</f>
        <v>0.7142857142857143</v>
      </c>
    </row>
    <row r="38" spans="2:18" ht="20" customHeight="1" x14ac:dyDescent="0.35">
      <c r="B38" s="20" t="str">
        <v>Habit 2</v>
      </c>
      <c r="C38" s="22">
        <f t="shared" ref="C38:N46" si="6">IF(C6+C22=0, NA(),C6/(C6+C22))</f>
        <v>0.75</v>
      </c>
      <c r="D38" s="22">
        <f t="shared" si="6"/>
        <v>1</v>
      </c>
      <c r="E38" s="22">
        <f t="shared" si="6"/>
        <v>1</v>
      </c>
      <c r="F38" s="22">
        <f t="shared" si="6"/>
        <v>1</v>
      </c>
      <c r="G38" s="22">
        <f t="shared" si="6"/>
        <v>1</v>
      </c>
      <c r="H38" s="22">
        <f t="shared" si="6"/>
        <v>1</v>
      </c>
      <c r="I38" s="22">
        <f t="shared" si="6"/>
        <v>1</v>
      </c>
      <c r="J38" s="22">
        <f t="shared" si="6"/>
        <v>1</v>
      </c>
      <c r="K38" s="22">
        <f t="shared" si="6"/>
        <v>1</v>
      </c>
      <c r="L38" s="22">
        <f t="shared" si="6"/>
        <v>1</v>
      </c>
      <c r="M38" s="22">
        <f t="shared" si="6"/>
        <v>1</v>
      </c>
      <c r="N38" s="22">
        <f t="shared" si="6"/>
        <v>1</v>
      </c>
      <c r="P38" s="23">
        <f t="shared" ref="P38:P46" si="7">AVERAGE(C38:N38)</f>
        <v>0.97916666666666663</v>
      </c>
      <c r="R38" s="23">
        <f t="shared" si="5"/>
        <v>0.75</v>
      </c>
    </row>
    <row r="39" spans="2:18" ht="20" customHeight="1" x14ac:dyDescent="0.35">
      <c r="B39" s="20" t="str">
        <v>Habit 3</v>
      </c>
      <c r="C39" s="22">
        <f t="shared" si="6"/>
        <v>0.75</v>
      </c>
      <c r="D39" s="22">
        <f t="shared" si="6"/>
        <v>1</v>
      </c>
      <c r="E39" s="22">
        <f t="shared" si="6"/>
        <v>1</v>
      </c>
      <c r="F39" s="22">
        <f t="shared" si="6"/>
        <v>1</v>
      </c>
      <c r="G39" s="22">
        <f t="shared" si="6"/>
        <v>1</v>
      </c>
      <c r="H39" s="22">
        <f t="shared" si="6"/>
        <v>1</v>
      </c>
      <c r="I39" s="22">
        <f t="shared" si="6"/>
        <v>1</v>
      </c>
      <c r="J39" s="22">
        <f t="shared" si="6"/>
        <v>1</v>
      </c>
      <c r="K39" s="22">
        <f t="shared" si="6"/>
        <v>1</v>
      </c>
      <c r="L39" s="22">
        <f t="shared" si="6"/>
        <v>1</v>
      </c>
      <c r="M39" s="22">
        <f t="shared" si="6"/>
        <v>1</v>
      </c>
      <c r="N39" s="22">
        <f t="shared" si="6"/>
        <v>1</v>
      </c>
      <c r="P39" s="23">
        <f t="shared" si="7"/>
        <v>0.97916666666666663</v>
      </c>
      <c r="R39" s="23">
        <f t="shared" si="5"/>
        <v>0.75</v>
      </c>
    </row>
    <row r="40" spans="2:18" ht="20" customHeight="1" x14ac:dyDescent="0.35">
      <c r="B40" s="20" t="str">
        <v>Habit 4</v>
      </c>
      <c r="C40" s="22">
        <f t="shared" si="6"/>
        <v>0.75</v>
      </c>
      <c r="D40" s="22">
        <f t="shared" si="6"/>
        <v>1</v>
      </c>
      <c r="E40" s="22">
        <f t="shared" si="6"/>
        <v>1</v>
      </c>
      <c r="F40" s="22">
        <f t="shared" si="6"/>
        <v>1</v>
      </c>
      <c r="G40" s="22">
        <f t="shared" si="6"/>
        <v>1</v>
      </c>
      <c r="H40" s="22">
        <f t="shared" si="6"/>
        <v>1</v>
      </c>
      <c r="I40" s="22">
        <f t="shared" si="6"/>
        <v>1</v>
      </c>
      <c r="J40" s="22">
        <f t="shared" si="6"/>
        <v>1</v>
      </c>
      <c r="K40" s="22">
        <f t="shared" si="6"/>
        <v>1</v>
      </c>
      <c r="L40" s="22">
        <f t="shared" si="6"/>
        <v>1</v>
      </c>
      <c r="M40" s="22">
        <f t="shared" si="6"/>
        <v>1</v>
      </c>
      <c r="N40" s="22">
        <f t="shared" si="6"/>
        <v>1</v>
      </c>
      <c r="P40" s="23">
        <f t="shared" si="7"/>
        <v>0.97916666666666663</v>
      </c>
      <c r="R40" s="23">
        <f t="shared" si="5"/>
        <v>0.75</v>
      </c>
    </row>
    <row r="41" spans="2:18" ht="20" customHeight="1" x14ac:dyDescent="0.35">
      <c r="B41" s="20" t="str">
        <v>Habit 5</v>
      </c>
      <c r="C41" s="22">
        <f t="shared" si="6"/>
        <v>0.75</v>
      </c>
      <c r="D41" s="22">
        <f t="shared" si="6"/>
        <v>1</v>
      </c>
      <c r="E41" s="22">
        <f t="shared" si="6"/>
        <v>1</v>
      </c>
      <c r="F41" s="22">
        <f t="shared" si="6"/>
        <v>0.9</v>
      </c>
      <c r="G41" s="22">
        <f t="shared" si="6"/>
        <v>1</v>
      </c>
      <c r="H41" s="22">
        <f t="shared" si="6"/>
        <v>1</v>
      </c>
      <c r="I41" s="22">
        <f t="shared" si="6"/>
        <v>1</v>
      </c>
      <c r="J41" s="22">
        <f t="shared" si="6"/>
        <v>1</v>
      </c>
      <c r="K41" s="22">
        <f t="shared" si="6"/>
        <v>1</v>
      </c>
      <c r="L41" s="22">
        <f t="shared" si="6"/>
        <v>1</v>
      </c>
      <c r="M41" s="22">
        <f t="shared" si="6"/>
        <v>1</v>
      </c>
      <c r="N41" s="22">
        <f t="shared" si="6"/>
        <v>1</v>
      </c>
      <c r="P41" s="23">
        <f t="shared" si="7"/>
        <v>0.97083333333333333</v>
      </c>
      <c r="R41" s="23">
        <f t="shared" si="5"/>
        <v>0.75</v>
      </c>
    </row>
    <row r="42" spans="2:18" ht="20" customHeight="1" x14ac:dyDescent="0.35">
      <c r="B42" s="20" t="str">
        <v>Habit 6</v>
      </c>
      <c r="C42" s="22">
        <f t="shared" si="6"/>
        <v>0.75</v>
      </c>
      <c r="D42" s="22">
        <f t="shared" si="6"/>
        <v>1</v>
      </c>
      <c r="E42" s="22">
        <f t="shared" si="6"/>
        <v>1</v>
      </c>
      <c r="F42" s="22">
        <f t="shared" si="6"/>
        <v>1</v>
      </c>
      <c r="G42" s="22">
        <f t="shared" si="6"/>
        <v>1</v>
      </c>
      <c r="H42" s="22">
        <f t="shared" si="6"/>
        <v>1</v>
      </c>
      <c r="I42" s="22">
        <f t="shared" si="6"/>
        <v>1</v>
      </c>
      <c r="J42" s="22">
        <f t="shared" si="6"/>
        <v>1</v>
      </c>
      <c r="K42" s="22">
        <f t="shared" si="6"/>
        <v>1</v>
      </c>
      <c r="L42" s="22">
        <f t="shared" si="6"/>
        <v>1</v>
      </c>
      <c r="M42" s="22">
        <f t="shared" si="6"/>
        <v>1</v>
      </c>
      <c r="N42" s="22">
        <f t="shared" si="6"/>
        <v>1</v>
      </c>
      <c r="P42" s="23">
        <f t="shared" si="7"/>
        <v>0.97916666666666663</v>
      </c>
      <c r="R42" s="23">
        <f t="shared" si="5"/>
        <v>0.75</v>
      </c>
    </row>
    <row r="43" spans="2:18" ht="20" customHeight="1" x14ac:dyDescent="0.35">
      <c r="B43" s="20" t="str">
        <v>Habit 7</v>
      </c>
      <c r="C43" s="22">
        <f t="shared" si="6"/>
        <v>0.75</v>
      </c>
      <c r="D43" s="22">
        <f t="shared" si="6"/>
        <v>1</v>
      </c>
      <c r="E43" s="22">
        <f t="shared" si="6"/>
        <v>1</v>
      </c>
      <c r="F43" s="22">
        <f t="shared" si="6"/>
        <v>1</v>
      </c>
      <c r="G43" s="22">
        <f t="shared" si="6"/>
        <v>1</v>
      </c>
      <c r="H43" s="22">
        <f t="shared" si="6"/>
        <v>1</v>
      </c>
      <c r="I43" s="22">
        <f t="shared" si="6"/>
        <v>1</v>
      </c>
      <c r="J43" s="22">
        <f t="shared" si="6"/>
        <v>1</v>
      </c>
      <c r="K43" s="22">
        <f t="shared" si="6"/>
        <v>1</v>
      </c>
      <c r="L43" s="22">
        <f t="shared" si="6"/>
        <v>1</v>
      </c>
      <c r="M43" s="22">
        <f t="shared" si="6"/>
        <v>1</v>
      </c>
      <c r="N43" s="22">
        <f t="shared" si="6"/>
        <v>1</v>
      </c>
      <c r="P43" s="23">
        <f t="shared" si="7"/>
        <v>0.97916666666666663</v>
      </c>
      <c r="R43" s="23">
        <f t="shared" si="5"/>
        <v>0.75</v>
      </c>
    </row>
    <row r="44" spans="2:18" ht="20" customHeight="1" x14ac:dyDescent="0.35">
      <c r="B44" s="20" t="str">
        <v>Habit 8</v>
      </c>
      <c r="C44" s="22">
        <f t="shared" si="6"/>
        <v>0.75</v>
      </c>
      <c r="D44" s="22">
        <f t="shared" si="6"/>
        <v>1</v>
      </c>
      <c r="E44" s="22">
        <f t="shared" si="6"/>
        <v>1</v>
      </c>
      <c r="F44" s="22">
        <f t="shared" si="6"/>
        <v>1</v>
      </c>
      <c r="G44" s="22">
        <f t="shared" si="6"/>
        <v>1</v>
      </c>
      <c r="H44" s="22">
        <f t="shared" si="6"/>
        <v>1</v>
      </c>
      <c r="I44" s="22">
        <f t="shared" si="6"/>
        <v>1</v>
      </c>
      <c r="J44" s="22">
        <f t="shared" si="6"/>
        <v>1</v>
      </c>
      <c r="K44" s="22">
        <f t="shared" si="6"/>
        <v>1</v>
      </c>
      <c r="L44" s="22">
        <f t="shared" si="6"/>
        <v>1</v>
      </c>
      <c r="M44" s="22">
        <f t="shared" si="6"/>
        <v>1</v>
      </c>
      <c r="N44" s="22">
        <f t="shared" si="6"/>
        <v>1</v>
      </c>
      <c r="P44" s="23">
        <f t="shared" si="7"/>
        <v>0.97916666666666663</v>
      </c>
      <c r="R44" s="23">
        <f t="shared" si="5"/>
        <v>0.75</v>
      </c>
    </row>
    <row r="45" spans="2:18" ht="20" customHeight="1" x14ac:dyDescent="0.35">
      <c r="B45" s="20" t="str">
        <v>Habit 9</v>
      </c>
      <c r="C45" s="22">
        <f t="shared" si="6"/>
        <v>0.75</v>
      </c>
      <c r="D45" s="22">
        <f t="shared" si="6"/>
        <v>1</v>
      </c>
      <c r="E45" s="22">
        <f t="shared" si="6"/>
        <v>1</v>
      </c>
      <c r="F45" s="22">
        <f t="shared" si="6"/>
        <v>1</v>
      </c>
      <c r="G45" s="22">
        <f t="shared" si="6"/>
        <v>1</v>
      </c>
      <c r="H45" s="22">
        <f t="shared" si="6"/>
        <v>1</v>
      </c>
      <c r="I45" s="22">
        <f t="shared" si="6"/>
        <v>1</v>
      </c>
      <c r="J45" s="22">
        <f t="shared" si="6"/>
        <v>1</v>
      </c>
      <c r="K45" s="22">
        <f t="shared" si="6"/>
        <v>1</v>
      </c>
      <c r="L45" s="22">
        <f t="shared" si="6"/>
        <v>1</v>
      </c>
      <c r="M45" s="22">
        <f t="shared" si="6"/>
        <v>1</v>
      </c>
      <c r="N45" s="22">
        <f t="shared" si="6"/>
        <v>1</v>
      </c>
      <c r="P45" s="23">
        <f t="shared" si="7"/>
        <v>0.97916666666666663</v>
      </c>
      <c r="R45" s="23">
        <f t="shared" si="5"/>
        <v>0.75</v>
      </c>
    </row>
    <row r="46" spans="2:18" ht="20" customHeight="1" x14ac:dyDescent="0.35">
      <c r="B46" s="20" t="str">
        <v>Habit 10</v>
      </c>
      <c r="C46" s="22">
        <f t="shared" si="6"/>
        <v>0.75</v>
      </c>
      <c r="D46" s="22">
        <f t="shared" si="6"/>
        <v>1</v>
      </c>
      <c r="E46" s="22">
        <f t="shared" si="6"/>
        <v>1</v>
      </c>
      <c r="F46" s="22">
        <f t="shared" si="6"/>
        <v>1</v>
      </c>
      <c r="G46" s="22">
        <f t="shared" si="6"/>
        <v>1</v>
      </c>
      <c r="H46" s="22">
        <f t="shared" si="6"/>
        <v>1</v>
      </c>
      <c r="I46" s="22">
        <f t="shared" si="6"/>
        <v>1</v>
      </c>
      <c r="J46" s="22">
        <f t="shared" si="6"/>
        <v>1</v>
      </c>
      <c r="K46" s="22">
        <f t="shared" si="6"/>
        <v>1</v>
      </c>
      <c r="L46" s="22">
        <f t="shared" si="6"/>
        <v>1</v>
      </c>
      <c r="M46" s="22">
        <f t="shared" si="6"/>
        <v>1</v>
      </c>
      <c r="N46" s="22">
        <f t="shared" si="6"/>
        <v>1</v>
      </c>
      <c r="P46" s="23">
        <f t="shared" si="7"/>
        <v>0.97916666666666663</v>
      </c>
      <c r="R46" s="23">
        <f t="shared" si="5"/>
        <v>0.75</v>
      </c>
    </row>
    <row r="48" spans="2:18" ht="20" customHeight="1" x14ac:dyDescent="0.35">
      <c r="B48" s="20" t="s">
        <v>29</v>
      </c>
      <c r="C48" s="22">
        <f>IF(SUM(C5:C14,C21:C30)=0,NA(),SUM(C5:C14)/SUM(C5:C14,C21:C30))</f>
        <v>0.7441860465116279</v>
      </c>
      <c r="D48" s="22">
        <f t="shared" ref="D48:N48" si="8">IF(SUM(D5:D14,D21:D30)=0,NA(),SUM(D5:D14)/SUM(D5:D14,D21:D30))</f>
        <v>1</v>
      </c>
      <c r="E48" s="22">
        <f t="shared" si="8"/>
        <v>1</v>
      </c>
      <c r="F48" s="22">
        <f t="shared" si="8"/>
        <v>0.98780487804878048</v>
      </c>
      <c r="G48" s="22">
        <f t="shared" si="8"/>
        <v>1</v>
      </c>
      <c r="H48" s="22">
        <f t="shared" si="8"/>
        <v>1</v>
      </c>
      <c r="I48" s="22">
        <f t="shared" si="8"/>
        <v>1</v>
      </c>
      <c r="J48" s="22">
        <f t="shared" si="8"/>
        <v>1</v>
      </c>
      <c r="K48" s="22">
        <f t="shared" si="8"/>
        <v>1</v>
      </c>
      <c r="L48" s="22">
        <f t="shared" si="8"/>
        <v>1</v>
      </c>
      <c r="M48" s="22">
        <f t="shared" si="8"/>
        <v>1</v>
      </c>
      <c r="N48" s="22">
        <f t="shared" si="8"/>
        <v>1</v>
      </c>
    </row>
    <row r="50" spans="2:14" ht="20" customHeight="1" x14ac:dyDescent="0.35">
      <c r="B50" s="20" t="s">
        <v>34</v>
      </c>
      <c r="C50" s="22">
        <f t="shared" ref="C50:N50" si="9">IF(ISBLANK(selectedHabit),C48,INDEX(C37:C46, MATCH(selectedHabit,_xlfn.ANCHORARRAY($B$37),0)))</f>
        <v>0.75</v>
      </c>
      <c r="D50" s="22">
        <f t="shared" si="9"/>
        <v>1</v>
      </c>
      <c r="E50" s="22">
        <f t="shared" si="9"/>
        <v>1</v>
      </c>
      <c r="F50" s="22">
        <f t="shared" si="9"/>
        <v>1</v>
      </c>
      <c r="G50" s="22">
        <f t="shared" si="9"/>
        <v>1</v>
      </c>
      <c r="H50" s="22">
        <f t="shared" si="9"/>
        <v>1</v>
      </c>
      <c r="I50" s="22">
        <f t="shared" si="9"/>
        <v>1</v>
      </c>
      <c r="J50" s="22">
        <f t="shared" si="9"/>
        <v>1</v>
      </c>
      <c r="K50" s="22">
        <f t="shared" si="9"/>
        <v>1</v>
      </c>
      <c r="L50" s="22">
        <f t="shared" si="9"/>
        <v>1</v>
      </c>
      <c r="M50" s="22">
        <f t="shared" si="9"/>
        <v>1</v>
      </c>
      <c r="N50" s="22">
        <f t="shared" si="9"/>
        <v>1</v>
      </c>
    </row>
  </sheetData>
  <mergeCells count="3">
    <mergeCell ref="C3:N3"/>
    <mergeCell ref="C19:N19"/>
    <mergeCell ref="C35:N35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62FD-4A55-4A0D-97B7-23B18469072F}">
  <sheetPr codeName="Sheet3"/>
  <dimension ref="B1:Z17"/>
  <sheetViews>
    <sheetView showGridLines="0" workbookViewId="0">
      <selection activeCell="D4" sqref="D4"/>
    </sheetView>
  </sheetViews>
  <sheetFormatPr defaultColWidth="4.6328125" defaultRowHeight="20" customHeight="1" x14ac:dyDescent="0.35"/>
  <cols>
    <col min="1" max="1" width="4.6328125" style="25"/>
    <col min="2" max="2" width="25.6328125" style="24" customWidth="1"/>
    <col min="3" max="3" width="4.6328125" style="25"/>
    <col min="4" max="4" width="25.6328125" style="25" customWidth="1"/>
    <col min="5" max="16384" width="4.6328125" style="25"/>
  </cols>
  <sheetData>
    <row r="1" spans="2:26" s="2" customFormat="1" ht="35" customHeight="1" x14ac:dyDescent="0.35">
      <c r="B1" s="3" t="s">
        <v>35</v>
      </c>
    </row>
    <row r="3" spans="2:26" ht="30" customHeight="1" thickBot="1" x14ac:dyDescent="0.4">
      <c r="B3" s="28" t="s">
        <v>32</v>
      </c>
      <c r="D3" s="28" t="s">
        <v>33</v>
      </c>
      <c r="F3" s="27" t="s">
        <v>31</v>
      </c>
      <c r="G3" s="30" t="str">
        <f>IF(ISBLANK(selectedMonth),"Habit Performance - All Months","Habit Performance -"&amp;selectedMonth)</f>
        <v>Habit Performance -JAN</v>
      </c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2:26" ht="40" customHeight="1" thickTop="1" x14ac:dyDescent="0.35">
      <c r="B4" s="29" t="s">
        <v>38</v>
      </c>
      <c r="D4" s="29" t="s">
        <v>18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2:26" ht="30" customHeight="1" x14ac:dyDescent="0.35"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2:26" ht="30" customHeight="1" thickBot="1" x14ac:dyDescent="0.4">
      <c r="B6" s="28" t="s">
        <v>2</v>
      </c>
      <c r="D6" s="28" t="s">
        <v>3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2:26" ht="40" customHeight="1" thickTop="1" x14ac:dyDescent="0.35">
      <c r="B7" s="32">
        <f>calculatedYes</f>
        <v>3</v>
      </c>
      <c r="D7" s="32">
        <f>calculatedNo</f>
        <v>1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9" spans="2:26" ht="20" customHeight="1" x14ac:dyDescent="0.35">
      <c r="B9" s="36">
        <f>IF(B7+D7=0,0,B7/(B7+D7))</f>
        <v>0.75</v>
      </c>
      <c r="C9" s="36"/>
      <c r="D9" s="36"/>
      <c r="F9" s="27"/>
      <c r="G9" s="30" t="str">
        <f>IF(ISBLANK(selectedHabit)," All Habits Percentage",selectedHabit&amp;"Percentage")</f>
        <v>Habit 3Percentage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2:26" ht="20" customHeight="1" x14ac:dyDescent="0.35">
      <c r="B10" s="36"/>
      <c r="C10" s="36"/>
      <c r="D10" s="3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2:26" ht="20" customHeight="1" x14ac:dyDescent="0.35">
      <c r="B11" s="36"/>
      <c r="C11" s="36"/>
      <c r="D11" s="3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2:26" ht="20" customHeight="1" x14ac:dyDescent="0.35">
      <c r="B12" s="36"/>
      <c r="C12" s="36"/>
      <c r="D12" s="3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2:26" ht="20" customHeight="1" x14ac:dyDescent="0.35">
      <c r="B13" s="36"/>
      <c r="C13" s="36"/>
      <c r="D13" s="3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2:26" ht="20" customHeight="1" x14ac:dyDescent="0.35">
      <c r="B14" s="36"/>
      <c r="C14" s="36"/>
      <c r="D14" s="3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2:26" ht="20" customHeight="1" x14ac:dyDescent="0.35">
      <c r="B15" s="36"/>
      <c r="C15" s="36"/>
      <c r="D15" s="3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2:26" ht="20" customHeight="1" x14ac:dyDescent="0.35">
      <c r="B16" s="36"/>
      <c r="C16" s="36"/>
      <c r="D16" s="3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2:26" ht="20" customHeight="1" x14ac:dyDescent="0.35">
      <c r="B17" s="36"/>
      <c r="C17" s="36"/>
      <c r="D17" s="3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</sheetData>
  <mergeCells count="1">
    <mergeCell ref="B9:D17"/>
  </mergeCells>
  <dataValidations count="1">
    <dataValidation type="list" allowBlank="1" showInputMessage="1" showErrorMessage="1" sqref="B4" xr:uid="{9C3C9A72-4325-4425-BF29-CB2892239DEC}">
      <formula1>habitlist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7BB642-654A-4962-A71E-612D18A6959C}">
          <x14:formula1>
            <xm:f>Calculations!$C$4:$N$4</xm:f>
          </x14:formula1>
          <xm:sqref>D4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3D24-5F18-47A8-909D-B8C358529164}">
  <sheetPr codeName="Sheet4"/>
  <dimension ref="B1:AJ13"/>
  <sheetViews>
    <sheetView showGridLines="0" workbookViewId="0">
      <selection activeCell="H4" sqref="H4:H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4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7">
        <v>1</v>
      </c>
      <c r="E4" s="7">
        <v>1</v>
      </c>
      <c r="F4" s="7">
        <v>1</v>
      </c>
      <c r="G4" s="7">
        <v>1</v>
      </c>
      <c r="H4" s="7">
        <v>-1</v>
      </c>
      <c r="I4" s="7">
        <v>-1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5</v>
      </c>
      <c r="AJ4" s="6">
        <f>COUNTIF(C4:AG4, "&lt;0")</f>
        <v>2</v>
      </c>
    </row>
    <row r="5" spans="2:36" ht="20" customHeight="1" x14ac:dyDescent="0.35">
      <c r="B5" s="11" t="str">
        <v>Habit 2</v>
      </c>
      <c r="C5" s="10">
        <v>1</v>
      </c>
      <c r="D5" s="7">
        <v>1</v>
      </c>
      <c r="E5" s="6"/>
      <c r="F5" s="7">
        <v>1</v>
      </c>
      <c r="G5" s="6"/>
      <c r="H5" s="7">
        <v>-1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3</v>
      </c>
      <c r="AJ5" s="6">
        <f t="shared" ref="AJ5:AJ13" si="1">COUNTIF(C5:AG5, "&lt;0")</f>
        <v>1</v>
      </c>
    </row>
    <row r="6" spans="2:36" ht="20" customHeight="1" x14ac:dyDescent="0.35">
      <c r="B6" s="11" t="str">
        <v>Habit 3</v>
      </c>
      <c r="C6" s="10">
        <v>1</v>
      </c>
      <c r="D6" s="7">
        <v>1</v>
      </c>
      <c r="E6" s="6"/>
      <c r="F6" s="7">
        <v>1</v>
      </c>
      <c r="G6" s="6"/>
      <c r="H6" s="7">
        <v>-1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3</v>
      </c>
      <c r="AJ6" s="6">
        <f t="shared" si="1"/>
        <v>1</v>
      </c>
    </row>
    <row r="7" spans="2:36" ht="20" customHeight="1" x14ac:dyDescent="0.35">
      <c r="B7" s="11" t="str">
        <v>Habit 4</v>
      </c>
      <c r="C7" s="10">
        <v>1</v>
      </c>
      <c r="D7" s="7">
        <v>1</v>
      </c>
      <c r="E7" s="6"/>
      <c r="F7" s="7">
        <v>1</v>
      </c>
      <c r="G7" s="6"/>
      <c r="H7" s="7">
        <v>-1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3</v>
      </c>
      <c r="AJ7" s="6">
        <f t="shared" si="1"/>
        <v>1</v>
      </c>
    </row>
    <row r="8" spans="2:36" ht="20" customHeight="1" x14ac:dyDescent="0.35">
      <c r="B8" s="11" t="str">
        <v>Habit 5</v>
      </c>
      <c r="C8" s="10">
        <v>1</v>
      </c>
      <c r="D8" s="7">
        <v>1</v>
      </c>
      <c r="E8" s="6"/>
      <c r="F8" s="7">
        <v>1</v>
      </c>
      <c r="G8" s="6"/>
      <c r="H8" s="7">
        <v>-1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3</v>
      </c>
      <c r="AJ8" s="6">
        <f t="shared" si="1"/>
        <v>1</v>
      </c>
    </row>
    <row r="9" spans="2:36" ht="20" customHeight="1" x14ac:dyDescent="0.35">
      <c r="B9" s="11" t="str">
        <v>Habit 6</v>
      </c>
      <c r="C9" s="10">
        <v>1</v>
      </c>
      <c r="D9" s="7">
        <v>1</v>
      </c>
      <c r="E9" s="6"/>
      <c r="F9" s="7">
        <v>1</v>
      </c>
      <c r="G9" s="6"/>
      <c r="H9" s="7">
        <v>-1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3</v>
      </c>
      <c r="AJ9" s="6">
        <f t="shared" si="1"/>
        <v>1</v>
      </c>
    </row>
    <row r="10" spans="2:36" ht="20" customHeight="1" x14ac:dyDescent="0.35">
      <c r="B10" s="11" t="str">
        <v>Habit 7</v>
      </c>
      <c r="C10" s="10">
        <v>1</v>
      </c>
      <c r="D10" s="7">
        <v>1</v>
      </c>
      <c r="E10" s="6"/>
      <c r="F10" s="7">
        <v>1</v>
      </c>
      <c r="G10" s="6"/>
      <c r="H10" s="7">
        <v>-1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3</v>
      </c>
      <c r="AJ10" s="6">
        <f t="shared" si="1"/>
        <v>1</v>
      </c>
    </row>
    <row r="11" spans="2:36" ht="20" customHeight="1" x14ac:dyDescent="0.35">
      <c r="B11" s="11" t="str">
        <v>Habit 8</v>
      </c>
      <c r="C11" s="10">
        <v>1</v>
      </c>
      <c r="D11" s="7">
        <v>1</v>
      </c>
      <c r="E11" s="6"/>
      <c r="F11" s="7">
        <v>1</v>
      </c>
      <c r="G11" s="6"/>
      <c r="H11" s="7">
        <v>-1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3</v>
      </c>
      <c r="AJ11" s="6">
        <f t="shared" si="1"/>
        <v>1</v>
      </c>
    </row>
    <row r="12" spans="2:36" ht="20" customHeight="1" x14ac:dyDescent="0.35">
      <c r="B12" s="11" t="str">
        <v>Habit 9</v>
      </c>
      <c r="C12" s="10">
        <v>1</v>
      </c>
      <c r="D12" s="7">
        <v>1</v>
      </c>
      <c r="E12" s="6"/>
      <c r="F12" s="7">
        <v>1</v>
      </c>
      <c r="G12" s="6"/>
      <c r="H12" s="7">
        <v>-1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3</v>
      </c>
      <c r="AJ12" s="6">
        <f t="shared" si="1"/>
        <v>1</v>
      </c>
    </row>
    <row r="13" spans="2:36" ht="20" customHeight="1" x14ac:dyDescent="0.35">
      <c r="B13" s="11" t="str">
        <v>Habit 10</v>
      </c>
      <c r="C13" s="10">
        <v>1</v>
      </c>
      <c r="D13" s="7">
        <v>1</v>
      </c>
      <c r="E13" s="6"/>
      <c r="F13" s="7">
        <v>1</v>
      </c>
      <c r="G13" s="6"/>
      <c r="H13" s="7">
        <v>-1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3</v>
      </c>
      <c r="AJ13" s="6">
        <f t="shared" si="1"/>
        <v>1</v>
      </c>
    </row>
  </sheetData>
  <conditionalFormatting sqref="C4:AG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1823-1308-4CB9-B9E7-2C8C878E1E4A}">
  <sheetPr codeName="Sheet5"/>
  <dimension ref="B1:AJ13"/>
  <sheetViews>
    <sheetView showGridLines="0" workbookViewId="0">
      <selection activeCell="C4" sqref="C4:J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1" width="4.6328125" style="1"/>
    <col min="32" max="33" width="0" style="1" hidden="1" customWidth="1"/>
    <col min="34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5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AG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D402-68ED-43C5-83CC-2BC9DA82ADD5}">
  <sheetPr codeName="Sheet6"/>
  <dimension ref="B1:AJ13"/>
  <sheetViews>
    <sheetView showGridLines="0" workbookViewId="0">
      <selection activeCell="B17" sqref="B17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6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K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C4:J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7A28-F865-41A2-AAF3-86E7287FF337}">
  <sheetPr codeName="Sheet7"/>
  <dimension ref="B1:AJ13"/>
  <sheetViews>
    <sheetView showGridLines="0" workbookViewId="0">
      <selection activeCell="Z21" sqref="Z21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2" width="4.6328125" style="1"/>
    <col min="33" max="33" width="0" style="1" hidden="1" customWidth="1"/>
    <col min="34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7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6"/>
      <c r="L8" s="6"/>
      <c r="M8" s="6">
        <v>1</v>
      </c>
      <c r="N8" s="6">
        <v>-1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9</v>
      </c>
      <c r="AJ8" s="6">
        <f t="shared" si="1"/>
        <v>1</v>
      </c>
    </row>
    <row r="9" spans="2:36" ht="20" customHeight="1" x14ac:dyDescent="0.35">
      <c r="B9" s="11" t="str">
        <v>Habit 6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K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C4:J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98E9-2741-4527-AD00-6FA2884F0C0F}">
  <sheetPr codeName="Sheet8"/>
  <dimension ref="B1:AJ13"/>
  <sheetViews>
    <sheetView showGridLines="0" workbookViewId="0">
      <selection activeCell="C4" sqref="C4:J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8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K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C4:J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23DB-19AF-41EF-90DA-7BFA32887631}">
  <sheetPr codeName="Sheet9"/>
  <dimension ref="B1:AJ13"/>
  <sheetViews>
    <sheetView showGridLines="0" workbookViewId="0">
      <selection activeCell="C4" sqref="C4:J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2" width="4.6328125" style="1"/>
    <col min="33" max="33" width="0" style="1" hidden="1" customWidth="1"/>
    <col min="34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9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9">
        <v>1</v>
      </c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9">
        <v>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K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C4:J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9000-6BB2-414E-A2CD-74D50F0F8D5F}">
  <sheetPr codeName="Sheet10"/>
  <dimension ref="B1:AJ13"/>
  <sheetViews>
    <sheetView showGridLines="0" workbookViewId="0">
      <selection activeCell="D4" sqref="D4:K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10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9">
        <v>1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C13 L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D4:K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0F64-064B-4CD8-A925-73FA25F458EC}">
  <sheetPr codeName="Sheet11"/>
  <dimension ref="B1:AJ13"/>
  <sheetViews>
    <sheetView showGridLines="0" tabSelected="1" topLeftCell="P1" workbookViewId="0">
      <selection activeCell="AR6" sqref="AR6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11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1</v>
      </c>
      <c r="AF8" s="9">
        <v>1</v>
      </c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9">
        <v>1</v>
      </c>
      <c r="Z9" s="9">
        <v>1</v>
      </c>
      <c r="AA9" s="9">
        <v>1</v>
      </c>
      <c r="AB9" s="9">
        <v>1</v>
      </c>
      <c r="AC9" s="9">
        <v>1</v>
      </c>
      <c r="AD9" s="9">
        <v>1</v>
      </c>
      <c r="AE9" s="9">
        <v>1</v>
      </c>
      <c r="AF9" s="9">
        <v>1</v>
      </c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9">
        <v>1</v>
      </c>
      <c r="AE10" s="9">
        <v>1</v>
      </c>
      <c r="AF10" s="9">
        <v>1</v>
      </c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1</v>
      </c>
      <c r="AE11" s="9">
        <v>1</v>
      </c>
      <c r="AF11" s="9">
        <v>1</v>
      </c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9">
        <v>1</v>
      </c>
      <c r="AE12" s="9">
        <v>1</v>
      </c>
      <c r="AF12" s="9">
        <v>1</v>
      </c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1</v>
      </c>
      <c r="AE13" s="9">
        <v>1</v>
      </c>
      <c r="AF13" s="9">
        <v>1</v>
      </c>
      <c r="AG13" s="6"/>
      <c r="AI13" s="6">
        <f t="shared" si="0"/>
        <v>8</v>
      </c>
      <c r="AJ13" s="6">
        <f t="shared" si="1"/>
        <v>0</v>
      </c>
    </row>
  </sheetData>
  <conditionalFormatting sqref="C4:X13 AG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Y4:AF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EAA5-9782-4D26-B883-EAD0D13365C3}">
  <sheetPr codeName="Sheet12"/>
  <dimension ref="B1:AJ13"/>
  <sheetViews>
    <sheetView showGridLines="0" workbookViewId="0">
      <selection activeCell="E4" sqref="E4:L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2" width="4.6328125" style="1"/>
    <col min="33" max="33" width="0" style="1" hidden="1" customWidth="1"/>
    <col min="34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12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7"/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6"/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6"/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6"/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6"/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6"/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6"/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6"/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6"/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6"/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D13 M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E4:L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A732-08FB-4C5C-935E-D8D260D70535}">
  <sheetPr codeName="Sheet13"/>
  <dimension ref="B1:AJ13"/>
  <sheetViews>
    <sheetView showGridLines="0" workbookViewId="0">
      <selection activeCell="E4" sqref="E4:L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13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7"/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6"/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6"/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6"/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6"/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6"/>
      <c r="E9" s="9">
        <v>1</v>
      </c>
      <c r="F9" s="9">
        <v>1</v>
      </c>
      <c r="G9" s="9">
        <v>1</v>
      </c>
      <c r="H9" s="9">
        <v>1</v>
      </c>
      <c r="I9" s="9">
        <v>1</v>
      </c>
      <c r="J9" s="9">
        <v>1</v>
      </c>
      <c r="K9" s="9">
        <v>1</v>
      </c>
      <c r="L9" s="9">
        <v>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6"/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6"/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1</v>
      </c>
      <c r="L11" s="9">
        <v>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6"/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6"/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D13 M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E4:L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3D18F-3C85-4291-9555-977EEA157742}">
  <sheetPr codeName="Sheet14"/>
  <dimension ref="B1:AJ13"/>
  <sheetViews>
    <sheetView showGridLines="0" topLeftCell="N1" workbookViewId="0">
      <selection activeCell="S4" sqref="S4:Z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2" width="4.6328125" style="1"/>
    <col min="33" max="33" width="0" style="1" hidden="1" customWidth="1"/>
    <col min="34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14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7"/>
      <c r="AB4" s="7"/>
      <c r="AC4" s="7"/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6"/>
      <c r="AB5" s="6"/>
      <c r="AC5" s="6"/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6"/>
      <c r="AB6" s="6"/>
      <c r="AC6" s="6"/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6"/>
      <c r="AB7" s="6"/>
      <c r="AC7" s="6"/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9">
        <v>1</v>
      </c>
      <c r="T8" s="9">
        <v>1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6"/>
      <c r="AB8" s="6"/>
      <c r="AC8" s="6"/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9">
        <v>1</v>
      </c>
      <c r="Z9" s="9">
        <v>1</v>
      </c>
      <c r="AA9" s="6"/>
      <c r="AB9" s="6"/>
      <c r="AC9" s="6"/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9">
        <v>1</v>
      </c>
      <c r="T10" s="9">
        <v>1</v>
      </c>
      <c r="U10" s="9">
        <v>1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6"/>
      <c r="AB10" s="6"/>
      <c r="AC10" s="6"/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9">
        <v>1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6"/>
      <c r="AB11" s="6"/>
      <c r="AC11" s="6"/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6"/>
      <c r="AB12" s="6"/>
      <c r="AC12" s="6"/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6"/>
      <c r="AB13" s="6"/>
      <c r="AC13" s="6"/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R13 AA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S4:Z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649-EF84-4C8F-B16D-AAF24AD77323}">
  <sheetPr codeName="Sheet15"/>
  <dimension ref="B1:AJ13"/>
  <sheetViews>
    <sheetView showGridLines="0" topLeftCell="N1" workbookViewId="0">
      <selection activeCell="V4" sqref="V4:AC13"/>
    </sheetView>
  </sheetViews>
  <sheetFormatPr defaultColWidth="4.6328125" defaultRowHeight="20" customHeight="1" x14ac:dyDescent="0.35"/>
  <cols>
    <col min="1" max="1" width="4.6328125" style="1"/>
    <col min="2" max="2" width="26.81640625" style="4" customWidth="1"/>
    <col min="3" max="34" width="4.6328125" style="1"/>
    <col min="35" max="36" width="8.6328125" style="1" customWidth="1"/>
    <col min="37" max="16384" width="4.6328125" style="1"/>
  </cols>
  <sheetData>
    <row r="1" spans="2:36" s="2" customFormat="1" ht="35" customHeight="1" x14ac:dyDescent="0.35">
      <c r="B1" s="3" t="s">
        <v>15</v>
      </c>
    </row>
    <row r="3" spans="2:36" ht="20" customHeight="1" thickBot="1" x14ac:dyDescent="0.4"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I3" s="8" t="s">
        <v>2</v>
      </c>
      <c r="AJ3" s="8" t="s">
        <v>3</v>
      </c>
    </row>
    <row r="4" spans="2:36" ht="20" customHeight="1" x14ac:dyDescent="0.35">
      <c r="B4" s="11" t="str" cm="1">
        <f t="array" ref="B4:B13">habitlist</f>
        <v>Habit 1</v>
      </c>
      <c r="C4" s="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7"/>
      <c r="AE4" s="7"/>
      <c r="AF4" s="7"/>
      <c r="AG4" s="7"/>
      <c r="AI4" s="6">
        <f>COUNTIF(C4:AG4, "&gt;=1")</f>
        <v>8</v>
      </c>
      <c r="AJ4" s="6">
        <f>COUNTIF(C4:AG4, "&lt;0")</f>
        <v>0</v>
      </c>
    </row>
    <row r="5" spans="2:36" ht="20" customHeight="1" x14ac:dyDescent="0.35">
      <c r="B5" s="11" t="str">
        <v>Habit 2</v>
      </c>
      <c r="C5" s="10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6"/>
      <c r="AE5" s="6"/>
      <c r="AF5" s="6"/>
      <c r="AG5" s="6"/>
      <c r="AI5" s="6">
        <f t="shared" ref="AI5:AI13" si="0">COUNTIF(C5:AG5, "&gt;=1")</f>
        <v>8</v>
      </c>
      <c r="AJ5" s="6">
        <f t="shared" ref="AJ5:AJ13" si="1">COUNTIF(C5:AG5, "&lt;0")</f>
        <v>0</v>
      </c>
    </row>
    <row r="6" spans="2:36" ht="20" customHeight="1" x14ac:dyDescent="0.35">
      <c r="B6" s="11" t="str">
        <v>Habit 3</v>
      </c>
      <c r="C6" s="10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6"/>
      <c r="AE6" s="6"/>
      <c r="AF6" s="6"/>
      <c r="AG6" s="6"/>
      <c r="AI6" s="6">
        <f t="shared" si="0"/>
        <v>8</v>
      </c>
      <c r="AJ6" s="6">
        <f t="shared" si="1"/>
        <v>0</v>
      </c>
    </row>
    <row r="7" spans="2:36" ht="20" customHeight="1" x14ac:dyDescent="0.35">
      <c r="B7" s="11" t="str">
        <v>Habit 4</v>
      </c>
      <c r="C7" s="10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6"/>
      <c r="AE7" s="6"/>
      <c r="AF7" s="6"/>
      <c r="AG7" s="6"/>
      <c r="AI7" s="6">
        <f t="shared" si="0"/>
        <v>8</v>
      </c>
      <c r="AJ7" s="6">
        <f t="shared" si="1"/>
        <v>0</v>
      </c>
    </row>
    <row r="8" spans="2:36" ht="20" customHeight="1" x14ac:dyDescent="0.35">
      <c r="B8" s="11" t="str">
        <v>Habit 5</v>
      </c>
      <c r="C8" s="10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1</v>
      </c>
      <c r="AC8" s="9">
        <v>1</v>
      </c>
      <c r="AD8" s="6"/>
      <c r="AE8" s="6"/>
      <c r="AF8" s="6"/>
      <c r="AG8" s="6"/>
      <c r="AI8" s="6">
        <f t="shared" si="0"/>
        <v>8</v>
      </c>
      <c r="AJ8" s="6">
        <f t="shared" si="1"/>
        <v>0</v>
      </c>
    </row>
    <row r="9" spans="2:36" ht="20" customHeight="1" x14ac:dyDescent="0.35">
      <c r="B9" s="11" t="str">
        <v>Habit 6</v>
      </c>
      <c r="C9" s="1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9">
        <v>1</v>
      </c>
      <c r="W9" s="9">
        <v>1</v>
      </c>
      <c r="X9" s="9">
        <v>1</v>
      </c>
      <c r="Y9" s="9">
        <v>1</v>
      </c>
      <c r="Z9" s="9">
        <v>1</v>
      </c>
      <c r="AA9" s="9">
        <v>1</v>
      </c>
      <c r="AB9" s="9">
        <v>1</v>
      </c>
      <c r="AC9" s="9">
        <v>1</v>
      </c>
      <c r="AD9" s="6"/>
      <c r="AE9" s="6"/>
      <c r="AF9" s="6"/>
      <c r="AG9" s="6"/>
      <c r="AI9" s="6">
        <f t="shared" si="0"/>
        <v>8</v>
      </c>
      <c r="AJ9" s="6">
        <f t="shared" si="1"/>
        <v>0</v>
      </c>
    </row>
    <row r="10" spans="2:36" ht="20" customHeight="1" x14ac:dyDescent="0.35">
      <c r="B10" s="11" t="str">
        <v>Habit 7</v>
      </c>
      <c r="C10" s="10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>
        <v>1</v>
      </c>
      <c r="AC10" s="9">
        <v>1</v>
      </c>
      <c r="AD10" s="6"/>
      <c r="AE10" s="6"/>
      <c r="AF10" s="6"/>
      <c r="AG10" s="6"/>
      <c r="AI10" s="6">
        <f t="shared" si="0"/>
        <v>8</v>
      </c>
      <c r="AJ10" s="6">
        <f t="shared" si="1"/>
        <v>0</v>
      </c>
    </row>
    <row r="11" spans="2:36" ht="20" customHeight="1" x14ac:dyDescent="0.35">
      <c r="B11" s="11" t="str">
        <v>Habit 8</v>
      </c>
      <c r="C11" s="10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6"/>
      <c r="AE11" s="6"/>
      <c r="AF11" s="6"/>
      <c r="AG11" s="6"/>
      <c r="AI11" s="6">
        <f t="shared" si="0"/>
        <v>8</v>
      </c>
      <c r="AJ11" s="6">
        <f t="shared" si="1"/>
        <v>0</v>
      </c>
    </row>
    <row r="12" spans="2:36" ht="20" customHeight="1" x14ac:dyDescent="0.35">
      <c r="B12" s="11" t="str">
        <v>Habit 9</v>
      </c>
      <c r="C12" s="1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1</v>
      </c>
      <c r="AD12" s="6"/>
      <c r="AE12" s="6"/>
      <c r="AF12" s="6"/>
      <c r="AG12" s="6"/>
      <c r="AI12" s="6">
        <f t="shared" si="0"/>
        <v>8</v>
      </c>
      <c r="AJ12" s="6">
        <f t="shared" si="1"/>
        <v>0</v>
      </c>
    </row>
    <row r="13" spans="2:36" ht="20" customHeight="1" x14ac:dyDescent="0.35">
      <c r="B13" s="11" t="str">
        <v>Habit 10</v>
      </c>
      <c r="C13" s="10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6"/>
      <c r="AE13" s="6"/>
      <c r="AF13" s="6"/>
      <c r="AG13" s="6"/>
      <c r="AI13" s="6">
        <f t="shared" si="0"/>
        <v>8</v>
      </c>
      <c r="AJ13" s="6">
        <f t="shared" si="1"/>
        <v>0</v>
      </c>
    </row>
  </sheetData>
  <conditionalFormatting sqref="C4:U13 AD4:AG13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V4:AC13">
    <cfRule type="iconSet" priority="1">
      <iconSet iconSet="3Symbols2" showValue="0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Habit List</vt:lpstr>
      <vt:lpstr>Calculations</vt:lpstr>
      <vt:lpstr>Dashboard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calculatedNo</vt:lpstr>
      <vt:lpstr>calculatedYes</vt:lpstr>
      <vt:lpstr>habitlist</vt:lpstr>
      <vt:lpstr>selectedHabit</vt:lpstr>
      <vt:lpstr>selectedMonth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 Sharan</dc:creator>
  <cp:lastModifiedBy>Krithik Sharan</cp:lastModifiedBy>
  <dcterms:created xsi:type="dcterms:W3CDTF">2025-06-23T15:53:26Z</dcterms:created>
  <dcterms:modified xsi:type="dcterms:W3CDTF">2025-07-25T16:11:26Z</dcterms:modified>
</cp:coreProperties>
</file>